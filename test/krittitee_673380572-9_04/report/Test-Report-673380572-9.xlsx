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 Summary" sheetId="1" state="visible" r:id="rId3"/>
    <sheet name="Defect Summary" sheetId="2" state="visible" r:id="rId4"/>
    <sheet name="BVT Summary" sheetId="3" state="visible" r:id="rId5"/>
    <sheet name="Normal_Room" sheetId="4" state="visible" r:id="rId6"/>
    <sheet name="Robustness_Room" sheetId="5" state="visible" r:id="rId7"/>
    <sheet name="WorstCase_Room" sheetId="6" state="visible" r:id="rId8"/>
    <sheet name="RobustWorst_Room" sheetId="7" state="visible" r:id="rId9"/>
    <sheet name="Normal_Equipment" sheetId="8" state="visible" r:id="rId10"/>
    <sheet name="Robustness_Equipment" sheetId="9" state="visible" r:id="rId11"/>
    <sheet name="EC Summary" sheetId="10" state="visible" r:id="rId12"/>
    <sheet name="1_Room" sheetId="11" state="visible" r:id="rId13"/>
    <sheet name="2_Equipment" sheetId="12" state="visible" r:id="rId14"/>
    <sheet name="Limited Entry Decision Table" sheetId="13" state="visible" r:id="rId15"/>
    <sheet name="Extended Entry Decision Table" sheetId="14" state="visible" r:id="rId16"/>
    <sheet name="TestCase_LEDT" sheetId="15" state="visible" r:id="rId17"/>
    <sheet name="TestCase_EEDT" sheetId="16" state="visible" r:id="rId18"/>
    <sheet name="TS001" sheetId="17" state="visible" r:id="rId19"/>
    <sheet name="TS002" sheetId="18" state="visible" r:id="rId20"/>
    <sheet name="TS003" sheetId="19" state="visible" r:id="rId21"/>
    <sheet name="TS004" sheetId="20" state="visible" r:id="rId22"/>
    <sheet name="TS005" sheetId="21" state="visible" r:id="rId23"/>
    <sheet name="TS006" sheetId="22" state="visible" r:id="rId24"/>
    <sheet name="TS007" sheetId="23" state="visible" r:id="rId25"/>
    <sheet name="TS008" sheetId="24" state="visible" r:id="rId26"/>
    <sheet name="TS009" sheetId="25" state="visible" r:id="rId27"/>
    <sheet name="Test Case Design &amp; Test Result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<sst xmlns="http://schemas.openxmlformats.org/spreadsheetml/2006/main" count="3682" uniqueCount="975">
  <si>
    <t xml:space="preserve">Student ID</t>
  </si>
  <si>
    <t xml:space="preserve">673380572-9</t>
  </si>
  <si>
    <t xml:space="preserve">Student Name</t>
  </si>
  <si>
    <t xml:space="preserve">กฤติธี ศรีใสย์</t>
  </si>
  <si>
    <t xml:space="preserve">Section</t>
  </si>
  <si>
    <t xml:space="preserve">04</t>
  </si>
  <si>
    <t xml:space="preserve">Use case ID/ Req. ID</t>
  </si>
  <si>
    <t xml:space="preserve">Scenario ID</t>
  </si>
  <si>
    <t xml:space="preserve">Test Scenario</t>
  </si>
  <si>
    <t xml:space="preserve">No. of Test Cases</t>
  </si>
  <si>
    <t xml:space="preserve">Pass</t>
  </si>
  <si>
    <t xml:space="preserve">Fail</t>
  </si>
  <si>
    <t xml:space="preserve">No run</t>
  </si>
  <si>
    <t xml:space="preserve">Block</t>
  </si>
  <si>
    <t xml:space="preserve">Remark / Defect ID</t>
  </si>
  <si>
    <t xml:space="preserve">REQ-01</t>
  </si>
  <si>
    <t xml:space="preserve">TS001</t>
  </si>
  <si>
    <t xml:space="preserve">Room management (Service)</t>
  </si>
  <si>
    <t xml:space="preserve">D004</t>
  </si>
  <si>
    <t xml:space="preserve">REQ-02</t>
  </si>
  <si>
    <t xml:space="preserve">TS002</t>
  </si>
  <si>
    <t xml:space="preserve">Equipment management (Service)</t>
  </si>
  <si>
    <t xml:space="preserve">D003, D004</t>
  </si>
  <si>
    <t xml:space="preserve">REQ-03</t>
  </si>
  <si>
    <t xml:space="preserve">TS003</t>
  </si>
  <si>
    <t xml:space="preserve">Booking approval rule (Strategy)</t>
  </si>
  <si>
    <t xml:space="preserve">D005, D006</t>
  </si>
  <si>
    <t xml:space="preserve">TS004</t>
  </si>
  <si>
    <t xml:space="preserve">Create booking with approval rule</t>
  </si>
  <si>
    <t xml:space="preserve">D005</t>
  </si>
  <si>
    <t xml:space="preserve">REQ-04</t>
  </si>
  <si>
    <t xml:space="preserve">TS005</t>
  </si>
  <si>
    <t xml:space="preserve">Room REST API</t>
  </si>
  <si>
    <t xml:space="preserve">D001, D002, D004</t>
  </si>
  <si>
    <t xml:space="preserve">REQ-05</t>
  </si>
  <si>
    <t xml:space="preserve">TS006</t>
  </si>
  <si>
    <t xml:space="preserve">Equipment REST API</t>
  </si>
  <si>
    <t xml:space="preserve">REQ-06</t>
  </si>
  <si>
    <t xml:space="preserve">TS007</t>
  </si>
  <si>
    <t xml:space="preserve">Input validation: Boundary value testing</t>
  </si>
  <si>
    <t xml:space="preserve">-</t>
  </si>
  <si>
    <t xml:space="preserve">TS008</t>
  </si>
  <si>
    <t xml:space="preserve">Input validation: Equivalence class testing (single fault)</t>
  </si>
  <si>
    <t xml:space="preserve">D001</t>
  </si>
  <si>
    <t xml:space="preserve">REQ-01, REQ-02</t>
  </si>
  <si>
    <t xml:space="preserve">TS009</t>
  </si>
  <si>
    <r>
      <rPr>
        <sz val="16"/>
        <rFont val="TH SarabunPSK"/>
        <family val="0"/>
        <charset val="1"/>
      </rPr>
      <t xml:space="preserve">Integration: API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database </t>
    </r>
    <r>
      <rPr>
        <sz val="16"/>
        <rFont val="FreeSans"/>
        <family val="2"/>
      </rPr>
      <t xml:space="preserve">จริง</t>
    </r>
  </si>
  <si>
    <t xml:space="preserve">Total</t>
  </si>
  <si>
    <t xml:space="preserve">Test Summary Report</t>
  </si>
  <si>
    <t xml:space="preserve">No</t>
  </si>
  <si>
    <t xml:space="preserve">Defect No</t>
  </si>
  <si>
    <t xml:space="preserve">Defect Title</t>
  </si>
  <si>
    <t xml:space="preserve">Report Date</t>
  </si>
  <si>
    <t xml:space="preserve">Fix date</t>
  </si>
  <si>
    <t xml:space="preserve">Reporter</t>
  </si>
  <si>
    <t xml:space="preserve">Defect Status</t>
  </si>
  <si>
    <t xml:space="preserve">Defect Severity</t>
  </si>
  <si>
    <t xml:space="preserve">Defect Priority</t>
  </si>
  <si>
    <t xml:space="preserve">Closed By</t>
  </si>
  <si>
    <t xml:space="preserve">Defect Details</t>
  </si>
  <si>
    <r>
      <rPr>
        <sz val="16"/>
        <rFont val="TH SarabunPSK"/>
        <family val="0"/>
        <charset val="1"/>
      </rPr>
      <t xml:space="preserve">Controller </t>
    </r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@Valid </t>
    </r>
    <r>
      <rPr>
        <sz val="16"/>
        <rFont val="FreeSans"/>
        <family val="2"/>
      </rPr>
      <t xml:space="preserve">และ </t>
    </r>
    <r>
      <rPr>
        <sz val="16"/>
        <rFont val="TH SarabunPSK"/>
        <family val="0"/>
        <charset val="1"/>
      </rPr>
      <t xml:space="preserve">DTO </t>
    </r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constraint </t>
    </r>
    <r>
      <rPr>
        <sz val="16"/>
        <rFont val="FreeSans"/>
        <family val="2"/>
      </rPr>
      <t xml:space="preserve">ทำให้ส่งข้อมูลผิดเข้าระบบได้</t>
    </r>
  </si>
  <si>
    <t xml:space="preserve">6/10/2569</t>
  </si>
  <si>
    <r>
      <rPr>
        <sz val="16"/>
        <rFont val="FreeSans"/>
        <family val="2"/>
      </rPr>
      <t xml:space="preserve">ทีม </t>
    </r>
    <r>
      <rPr>
        <sz val="16"/>
        <rFont val="TH SarabunPSK"/>
        <family val="0"/>
        <charset val="1"/>
      </rPr>
      <t xml:space="preserve">(code review)</t>
    </r>
  </si>
  <si>
    <t xml:space="preserve">Closed</t>
  </si>
  <si>
    <t xml:space="preserve">Medium</t>
  </si>
  <si>
    <r>
      <rPr>
        <sz val="16"/>
        <rFont val="FreeSans"/>
        <family val="2"/>
      </rPr>
      <t xml:space="preserve">เพิ่ม </t>
    </r>
    <r>
      <rPr>
        <sz val="16"/>
        <rFont val="TH SarabunPSK"/>
        <family val="0"/>
        <charset val="1"/>
      </rPr>
      <t xml:space="preserve">@NotBlank/@NotNull/@Positive/@Size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RoomCreateRequest, EquipmentCreateRequest </t>
    </r>
    <r>
      <rPr>
        <sz val="16"/>
        <rFont val="FreeSans"/>
        <family val="2"/>
      </rPr>
      <t xml:space="preserve">และใส่ </t>
    </r>
    <r>
      <rPr>
        <sz val="16"/>
        <rFont val="TH SarabunPSK"/>
        <family val="0"/>
        <charset val="1"/>
      </rPr>
      <t xml:space="preserve">@Valid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EquipmentController (POST, PUT) </t>
    </r>
    <r>
      <rPr>
        <sz val="16"/>
        <rFont val="FreeSans"/>
        <family val="2"/>
      </rPr>
      <t xml:space="preserve">ทดสอบโดย </t>
    </r>
    <r>
      <rPr>
        <sz val="16"/>
        <rFont val="TH SarabunPSK"/>
        <family val="0"/>
        <charset val="1"/>
      </rPr>
      <t xml:space="preserve">TC-RC02, TC-EC02, TC-EC03</t>
    </r>
  </si>
  <si>
    <t xml:space="preserve">D002</t>
  </si>
  <si>
    <r>
      <rPr>
        <sz val="16"/>
        <rFont val="TH SarabunPSK"/>
        <family val="0"/>
        <charset val="1"/>
      </rPr>
      <t xml:space="preserve">URL </t>
    </r>
    <r>
      <rPr>
        <sz val="16"/>
        <rFont val="FreeSans"/>
        <family val="2"/>
      </rPr>
      <t xml:space="preserve">ของ </t>
    </r>
    <r>
      <rPr>
        <sz val="16"/>
        <rFont val="TH SarabunPSK"/>
        <family val="0"/>
        <charset val="1"/>
      </rPr>
      <t xml:space="preserve">Equipment </t>
    </r>
    <r>
      <rPr>
        <sz val="16"/>
        <rFont val="FreeSans"/>
        <family val="2"/>
      </rPr>
      <t xml:space="preserve">ไม่ใช้ </t>
    </r>
    <r>
      <rPr>
        <sz val="16"/>
        <rFont val="TH SarabunPSK"/>
        <family val="0"/>
        <charset val="1"/>
      </rPr>
      <t xml:space="preserve">prefix /api/v1 </t>
    </r>
    <r>
      <rPr>
        <sz val="16"/>
        <rFont val="FreeSans"/>
        <family val="2"/>
      </rPr>
      <t xml:space="preserve">เหมือน </t>
    </r>
    <r>
      <rPr>
        <sz val="16"/>
        <rFont val="TH SarabunPSK"/>
        <family val="0"/>
        <charset val="1"/>
      </rPr>
      <t xml:space="preserve">endpoint </t>
    </r>
    <r>
      <rPr>
        <sz val="16"/>
        <rFont val="FreeSans"/>
        <family val="2"/>
      </rPr>
      <t xml:space="preserve">อื่น</t>
    </r>
  </si>
  <si>
    <t xml:space="preserve">Low</t>
  </si>
  <si>
    <r>
      <rPr>
        <sz val="16"/>
        <rFont val="FreeSans"/>
        <family val="2"/>
      </rPr>
      <t xml:space="preserve">เปลี่ยน </t>
    </r>
    <r>
      <rPr>
        <sz val="16"/>
        <rFont val="TH SarabunPSK"/>
        <family val="0"/>
        <charset val="1"/>
      </rPr>
      <t xml:space="preserve">/api/equipments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/api/v1/equipments </t>
    </r>
    <r>
      <rPr>
        <sz val="16"/>
        <rFont val="FreeSans"/>
        <family val="2"/>
      </rPr>
      <t xml:space="preserve">ทดสอบโดย </t>
    </r>
    <r>
      <rPr>
        <sz val="16"/>
        <rFont val="TH SarabunPSK"/>
        <family val="0"/>
        <charset val="1"/>
      </rPr>
      <t xml:space="preserve">TS006 </t>
    </r>
    <r>
      <rPr>
        <sz val="16"/>
        <rFont val="FreeSans"/>
        <family val="2"/>
      </rPr>
      <t xml:space="preserve">ทุกเคส</t>
    </r>
  </si>
  <si>
    <t xml:space="preserve">D003</t>
  </si>
  <si>
    <r>
      <rPr>
        <sz val="16"/>
        <rFont val="FreeSans"/>
        <family val="2"/>
      </rPr>
      <t xml:space="preserve">หา </t>
    </r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ไม่เจอแล้ว </t>
    </r>
    <r>
      <rPr>
        <sz val="16"/>
        <rFont val="TH SarabunPSK"/>
        <family val="0"/>
        <charset val="1"/>
      </rPr>
      <t xml:space="preserve">throw RuntimeException </t>
    </r>
    <r>
      <rPr>
        <sz val="16"/>
        <rFont val="FreeSans"/>
        <family val="2"/>
      </rPr>
      <t xml:space="preserve">ทำให้ได้ </t>
    </r>
    <r>
      <rPr>
        <sz val="16"/>
        <rFont val="TH SarabunPSK"/>
        <family val="0"/>
        <charset val="1"/>
      </rPr>
      <t xml:space="preserve">500 </t>
    </r>
    <r>
      <rPr>
        <sz val="16"/>
        <rFont val="FreeSans"/>
        <family val="2"/>
      </rPr>
      <t xml:space="preserve">แทน </t>
    </r>
    <r>
      <rPr>
        <sz val="16"/>
        <rFont val="TH SarabunPSK"/>
        <family val="0"/>
        <charset val="1"/>
      </rPr>
      <t xml:space="preserve">404</t>
    </r>
  </si>
  <si>
    <t xml:space="preserve">High</t>
  </si>
  <si>
    <r>
      <rPr>
        <sz val="16"/>
        <rFont val="TH SarabunPSK"/>
        <family val="0"/>
        <charset val="1"/>
      </rPr>
      <t xml:space="preserve">EquipmentServiceImpl </t>
    </r>
    <r>
      <rPr>
        <sz val="16"/>
        <rFont val="FreeSans"/>
        <family val="2"/>
      </rPr>
      <t xml:space="preserve">เปลี่ยนเป็น </t>
    </r>
    <r>
      <rPr>
        <sz val="16"/>
        <rFont val="TH SarabunPSK"/>
        <family val="0"/>
        <charset val="1"/>
      </rPr>
      <t xml:space="preserve">ResourceNotFoundException </t>
    </r>
    <r>
      <rPr>
        <sz val="16"/>
        <rFont val="FreeSans"/>
        <family val="2"/>
      </rPr>
      <t xml:space="preserve">ผ่าน </t>
    </r>
    <r>
      <rPr>
        <sz val="16"/>
        <rFont val="TH SarabunPSK"/>
        <family val="0"/>
        <charset val="1"/>
      </rPr>
      <t xml:space="preserve">findEquipmentOrThrow() </t>
    </r>
    <r>
      <rPr>
        <sz val="16"/>
        <rFont val="FreeSans"/>
        <family val="2"/>
      </rPr>
      <t xml:space="preserve">ทดสอบโดย </t>
    </r>
    <r>
      <rPr>
        <sz val="16"/>
        <rFont val="TH SarabunPSK"/>
        <family val="0"/>
        <charset val="1"/>
      </rPr>
      <t xml:space="preserve">TC-ES04, TC-ES07, TC-ES10, TC-EC04</t>
    </r>
  </si>
  <si>
    <r>
      <rPr>
        <sz val="16"/>
        <rFont val="FreeSans"/>
        <family val="2"/>
      </rPr>
      <t xml:space="preserve">ลบห้อง</t>
    </r>
    <r>
      <rPr>
        <sz val="16"/>
        <rFont val="TH SarabunPSK"/>
        <family val="0"/>
        <charset val="1"/>
      </rPr>
      <t xml:space="preserve">/</t>
    </r>
    <r>
      <rPr>
        <sz val="16"/>
        <rFont val="FreeSans"/>
        <family val="2"/>
      </rPr>
      <t xml:space="preserve">อุปกรณ์ที่มีการจองผูกอยู่ ติด </t>
    </r>
    <r>
      <rPr>
        <sz val="16"/>
        <rFont val="TH SarabunPSK"/>
        <family val="0"/>
        <charset val="1"/>
      </rPr>
      <t xml:space="preserve">foreign key </t>
    </r>
    <r>
      <rPr>
        <sz val="16"/>
        <rFont val="FreeSans"/>
        <family val="2"/>
      </rPr>
      <t xml:space="preserve">แล้วได้ </t>
    </r>
    <r>
      <rPr>
        <sz val="16"/>
        <rFont val="TH SarabunPSK"/>
        <family val="0"/>
        <charset val="1"/>
      </rPr>
      <t xml:space="preserve">500 </t>
    </r>
    <r>
      <rPr>
        <sz val="16"/>
        <rFont val="FreeSans"/>
        <family val="2"/>
      </rPr>
      <t xml:space="preserve">แทน </t>
    </r>
    <r>
      <rPr>
        <sz val="16"/>
        <rFont val="TH SarabunPSK"/>
        <family val="0"/>
        <charset val="1"/>
      </rPr>
      <t xml:space="preserve">409</t>
    </r>
  </si>
  <si>
    <r>
      <rPr>
        <sz val="16"/>
        <rFont val="TH SarabunPSK"/>
        <family val="0"/>
        <charset val="1"/>
      </rPr>
      <t xml:space="preserve">delete </t>
    </r>
    <r>
      <rPr>
        <sz val="16"/>
        <rFont val="FreeSans"/>
        <family val="2"/>
      </rPr>
      <t xml:space="preserve">แล้ว </t>
    </r>
    <r>
      <rPr>
        <sz val="16"/>
        <rFont val="TH SarabunPSK"/>
        <family val="0"/>
        <charset val="1"/>
      </rPr>
      <t xml:space="preserve">flush()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try </t>
    </r>
    <r>
      <rPr>
        <sz val="16"/>
        <rFont val="FreeSans"/>
        <family val="2"/>
      </rPr>
      <t xml:space="preserve">แล้วแปลง </t>
    </r>
    <r>
      <rPr>
        <sz val="16"/>
        <rFont val="TH SarabunPSK"/>
        <family val="0"/>
        <charset val="1"/>
      </rPr>
      <t xml:space="preserve">DataIntegrityViolationException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ConflictException </t>
    </r>
    <r>
      <rPr>
        <sz val="16"/>
        <rFont val="FreeSans"/>
        <family val="2"/>
      </rPr>
      <t xml:space="preserve">และมี </t>
    </r>
    <r>
      <rPr>
        <sz val="16"/>
        <rFont val="TH SarabunPSK"/>
        <family val="0"/>
        <charset val="1"/>
      </rPr>
      <t xml:space="preserve">handler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GlobalExceptionHandler </t>
    </r>
    <r>
      <rPr>
        <sz val="16"/>
        <rFont val="FreeSans"/>
        <family val="2"/>
      </rPr>
      <t xml:space="preserve">ตอบ </t>
    </r>
    <r>
      <rPr>
        <sz val="16"/>
        <rFont val="TH SarabunPSK"/>
        <family val="0"/>
        <charset val="1"/>
      </rPr>
      <t xml:space="preserve">409 </t>
    </r>
    <r>
      <rPr>
        <sz val="16"/>
        <rFont val="FreeSans"/>
        <family val="2"/>
      </rPr>
      <t xml:space="preserve">ทดสอบโดย </t>
    </r>
    <r>
      <rPr>
        <sz val="16"/>
        <rFont val="TH SarabunPSK"/>
        <family val="0"/>
        <charset val="1"/>
      </rPr>
      <t xml:space="preserve">TC-RS10, TC-ES12, TC-RC05, TC-EC05</t>
    </r>
  </si>
  <si>
    <r>
      <rPr>
        <sz val="16"/>
        <rFont val="TH SarabunPSK"/>
        <family val="0"/>
        <charset val="1"/>
      </rPr>
      <t xml:space="preserve">Strategy Pattern </t>
    </r>
    <r>
      <rPr>
        <sz val="16"/>
        <rFont val="FreeSans"/>
        <family val="2"/>
      </rPr>
      <t xml:space="preserve">เขียนไว้แต่ไม่มีใครเรียกใช้ การจองทุกห้องค้างที่ </t>
    </r>
    <r>
      <rPr>
        <sz val="16"/>
        <rFont val="TH SarabunPSK"/>
        <family val="0"/>
        <charset val="1"/>
      </rPr>
      <t xml:space="preserve">PENDING</t>
    </r>
  </si>
  <si>
    <r>
      <rPr>
        <sz val="16"/>
        <rFont val="TH SarabunPSK"/>
        <family val="0"/>
        <charset val="1"/>
      </rPr>
      <t xml:space="preserve">BookingServiceImpl.createBooking() </t>
    </r>
    <r>
      <rPr>
        <sz val="16"/>
        <rFont val="FreeSans"/>
        <family val="2"/>
      </rPr>
      <t xml:space="preserve">เรียก </t>
    </r>
    <r>
      <rPr>
        <sz val="16"/>
        <rFont val="TH SarabunPSK"/>
        <family val="0"/>
        <charset val="1"/>
      </rPr>
      <t xml:space="preserve">BookingRuleStrategyFactory </t>
    </r>
    <r>
      <rPr>
        <sz val="16"/>
        <rFont val="FreeSans"/>
        <family val="2"/>
      </rPr>
      <t xml:space="preserve">ตามประเภทห้อง </t>
    </r>
    <r>
      <rPr>
        <sz val="16"/>
        <rFont val="TH SarabunPSK"/>
        <family val="0"/>
        <charset val="1"/>
      </rPr>
      <t xml:space="preserve">STANDARD </t>
    </r>
    <r>
      <rPr>
        <sz val="16"/>
        <rFont val="FreeSans"/>
        <family val="2"/>
      </rPr>
      <t xml:space="preserve">อนุมัติอัตโนมัติ </t>
    </r>
    <r>
      <rPr>
        <sz val="16"/>
        <rFont val="TH SarabunPSK"/>
        <family val="0"/>
        <charset val="1"/>
      </rPr>
      <t xml:space="preserve">VIP </t>
    </r>
    <r>
      <rPr>
        <sz val="16"/>
        <rFont val="FreeSans"/>
        <family val="2"/>
      </rPr>
      <t xml:space="preserve">รออนุมัติ ทดสอบโดย </t>
    </r>
    <r>
      <rPr>
        <sz val="16"/>
        <rFont val="TH SarabunPSK"/>
        <family val="0"/>
        <charset val="1"/>
      </rPr>
      <t xml:space="preserve">TC-BK01, TC-BK02</t>
    </r>
  </si>
  <si>
    <t xml:space="preserve">D006</t>
  </si>
  <si>
    <r>
      <rPr>
        <sz val="16"/>
        <rFont val="FreeSans"/>
        <family val="2"/>
      </rPr>
      <t xml:space="preserve">ไฟล์ </t>
    </r>
    <r>
      <rPr>
        <sz val="16"/>
        <rFont val="TH SarabunPSK"/>
        <family val="0"/>
        <charset val="1"/>
      </rPr>
      <t xml:space="preserve">BookingRuleStrategyFactory </t>
    </r>
    <r>
      <rPr>
        <sz val="16"/>
        <rFont val="FreeSans"/>
        <family val="2"/>
      </rPr>
      <t xml:space="preserve">ไม่มีนามสกุล </t>
    </r>
    <r>
      <rPr>
        <sz val="16"/>
        <rFont val="TH SarabunPSK"/>
        <family val="0"/>
        <charset val="1"/>
      </rPr>
      <t xml:space="preserve">.java </t>
    </r>
    <r>
      <rPr>
        <sz val="16"/>
        <rFont val="FreeSans"/>
        <family val="2"/>
      </rPr>
      <t xml:space="preserve">จึงไม่ถูก </t>
    </r>
    <r>
      <rPr>
        <sz val="16"/>
        <rFont val="TH SarabunPSK"/>
        <family val="0"/>
        <charset val="1"/>
      </rPr>
      <t xml:space="preserve">compile</t>
    </r>
  </si>
  <si>
    <r>
      <rPr>
        <sz val="16"/>
        <rFont val="FreeSans"/>
        <family val="2"/>
      </rPr>
      <t xml:space="preserve">เปลี่ยนชื่อเป็น </t>
    </r>
    <r>
      <rPr>
        <sz val="16"/>
        <rFont val="TH SarabunPSK"/>
        <family val="0"/>
        <charset val="1"/>
      </rPr>
      <t xml:space="preserve">BookingRuleStrategyFactory.java </t>
    </r>
    <r>
      <rPr>
        <sz val="16"/>
        <rFont val="FreeSans"/>
        <family val="2"/>
      </rPr>
      <t xml:space="preserve">ทดสอบโดย </t>
    </r>
    <r>
      <rPr>
        <sz val="16"/>
        <rFont val="TH SarabunPSK"/>
        <family val="0"/>
        <charset val="1"/>
      </rPr>
      <t xml:space="preserve">TC-ST03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TC-ST05</t>
    </r>
  </si>
  <si>
    <t xml:space="preserve">Test Strategy</t>
  </si>
  <si>
    <t xml:space="preserve">Normal Boundary Value Testing (Room)</t>
  </si>
  <si>
    <t xml:space="preserve">4n+1 = 9</t>
  </si>
  <si>
    <t xml:space="preserve">Robustness Testing (Room)</t>
  </si>
  <si>
    <t xml:space="preserve">6n+1 = 13 (12 + TC-RC06)</t>
  </si>
  <si>
    <t xml:space="preserve">Worst-case Testing (Room)</t>
  </si>
  <si>
    <t xml:space="preserve">5^n = 25</t>
  </si>
  <si>
    <t xml:space="preserve">Robust Worst-case Testing (Room)</t>
  </si>
  <si>
    <r>
      <rPr>
        <sz val="18"/>
        <rFont val="TH SarabunPSK"/>
        <family val="0"/>
        <charset val="1"/>
      </rPr>
      <t xml:space="preserve">7^n = 49 (</t>
    </r>
    <r>
      <rPr>
        <sz val="18"/>
        <rFont val="FreeSans"/>
        <family val="2"/>
      </rPr>
      <t xml:space="preserve">ทดสอบได้ </t>
    </r>
    <r>
      <rPr>
        <sz val="18"/>
        <rFont val="TH SarabunPSK"/>
        <family val="0"/>
        <charset val="1"/>
      </rPr>
      <t xml:space="preserve">42, capacity max+ </t>
    </r>
    <r>
      <rPr>
        <sz val="18"/>
        <rFont val="FreeSans"/>
        <family val="2"/>
      </rPr>
      <t xml:space="preserve">เกิน </t>
    </r>
    <r>
      <rPr>
        <sz val="18"/>
        <rFont val="TH SarabunPSK"/>
        <family val="0"/>
        <charset val="1"/>
      </rPr>
      <t xml:space="preserve">Integer)</t>
    </r>
  </si>
  <si>
    <t xml:space="preserve">Normal Boundary Value Testing (Equipment)</t>
  </si>
  <si>
    <t xml:space="preserve">Robustness Testing (Equipment)</t>
  </si>
  <si>
    <r>
      <rPr>
        <sz val="18"/>
        <rFont val="TH SarabunPSK"/>
        <family val="0"/>
        <charset val="1"/>
      </rPr>
      <t xml:space="preserve">6n+1 = 13 (</t>
    </r>
    <r>
      <rPr>
        <sz val="18"/>
        <rFont val="FreeSans"/>
        <family val="2"/>
      </rPr>
      <t xml:space="preserve">ทดสอบได้ </t>
    </r>
    <r>
      <rPr>
        <sz val="18"/>
        <rFont val="TH SarabunPSK"/>
        <family val="0"/>
        <charset val="1"/>
      </rPr>
      <t xml:space="preserve">12)</t>
    </r>
  </si>
  <si>
    <r>
      <rPr>
        <sz val="16"/>
        <rFont val="TH SarabunPSK"/>
        <family val="0"/>
        <charset val="1"/>
      </rPr>
      <t xml:space="preserve">Robustness capacity max+ (2147483648) </t>
    </r>
    <r>
      <rPr>
        <sz val="16"/>
        <rFont val="FreeSans"/>
        <family val="2"/>
      </rPr>
      <t xml:space="preserve">ทดสอบที่ระดับ </t>
    </r>
    <r>
      <rPr>
        <sz val="16"/>
        <rFont val="TH SarabunPSK"/>
        <family val="0"/>
        <charset val="1"/>
      </rPr>
      <t xml:space="preserve">API: TC-RC06 (</t>
    </r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TS005)</t>
    </r>
  </si>
  <si>
    <t xml:space="preserve">Test Case Design and Test Results</t>
  </si>
  <si>
    <t xml:space="preserve">ค่า</t>
  </si>
  <si>
    <r>
      <rPr>
        <b val="true"/>
        <sz val="18"/>
        <rFont val="TH SarabunPSK"/>
        <family val="0"/>
        <charset val="1"/>
      </rPr>
      <t xml:space="preserve">name (</t>
    </r>
    <r>
      <rPr>
        <b val="true"/>
        <sz val="18"/>
        <rFont val="FreeSans"/>
        <family val="2"/>
      </rPr>
      <t xml:space="preserve">ความยาว</t>
    </r>
    <r>
      <rPr>
        <b val="true"/>
        <sz val="18"/>
        <rFont val="TH SarabunPSK"/>
        <family val="0"/>
        <charset val="1"/>
      </rPr>
      <t xml:space="preserve">)</t>
    </r>
  </si>
  <si>
    <t xml:space="preserve">capacity</t>
  </si>
  <si>
    <t xml:space="preserve">min-</t>
  </si>
  <si>
    <t xml:space="preserve">Project Name: </t>
  </si>
  <si>
    <t xml:space="preserve">Room - RoomCreateRequest</t>
  </si>
  <si>
    <t xml:space="preserve">Student ID: </t>
  </si>
  <si>
    <t xml:space="preserve">min</t>
  </si>
  <si>
    <t xml:space="preserve">Test Strategy: </t>
  </si>
  <si>
    <t xml:space="preserve">Functional testing - Normal Boundary Value Testing</t>
  </si>
  <si>
    <t xml:space="preserve">Designer: </t>
  </si>
  <si>
    <t xml:space="preserve">min+</t>
  </si>
  <si>
    <t xml:space="preserve">Test Environtment: </t>
  </si>
  <si>
    <t xml:space="preserve">Java 17, Spring Boot 4.1, JUnit 5, Mockito, Maven Surefire 3.5.6, Windows 11</t>
  </si>
  <si>
    <t xml:space="preserve">Date:</t>
  </si>
  <si>
    <t xml:space="preserve">9/10/2569</t>
  </si>
  <si>
    <t xml:space="preserve">nom</t>
  </si>
  <si>
    <t xml:space="preserve">max-</t>
  </si>
  <si>
    <t xml:space="preserve">Test Case ID</t>
  </si>
  <si>
    <t xml:space="preserve">Input</t>
  </si>
  <si>
    <t xml:space="preserve">Expected Result</t>
  </si>
  <si>
    <t xml:space="preserve">Actual Result</t>
  </si>
  <si>
    <t xml:space="preserve">Status (Pass/Fail/No run)</t>
  </si>
  <si>
    <t xml:space="preserve">max</t>
  </si>
  <si>
    <t xml:space="preserve">max+</t>
  </si>
  <si>
    <r>
      <rPr>
        <sz val="18"/>
        <rFont val="TH SarabunPSK"/>
        <family val="0"/>
        <charset val="1"/>
      </rPr>
      <t xml:space="preserve">2147483648 (</t>
    </r>
    <r>
      <rPr>
        <sz val="18"/>
        <rFont val="FreeSans"/>
        <family val="2"/>
      </rPr>
      <t xml:space="preserve">เกิน </t>
    </r>
    <r>
      <rPr>
        <sz val="18"/>
        <rFont val="TH SarabunPSK"/>
        <family val="0"/>
        <charset val="1"/>
      </rPr>
      <t xml:space="preserve">Integer)</t>
    </r>
  </si>
  <si>
    <t xml:space="preserve">TC-BVR-N01</t>
  </si>
  <si>
    <t xml:space="preserve">50 (nom)</t>
  </si>
  <si>
    <t xml:space="preserve">10 (nom)</t>
  </si>
  <si>
    <r>
      <rPr>
        <sz val="16"/>
        <rFont val="FreeSans"/>
        <family val="2"/>
      </rPr>
      <t xml:space="preserve">ผ่าน </t>
    </r>
    <r>
      <rPr>
        <sz val="16"/>
        <rFont val="TH SarabunPSK"/>
        <family val="0"/>
        <charset val="1"/>
      </rPr>
      <t xml:space="preserve">validation</t>
    </r>
  </si>
  <si>
    <t xml:space="preserve">ช่วงที่ถูกต้อง</t>
  </si>
  <si>
    <t xml:space="preserve">[1, 100]</t>
  </si>
  <si>
    <t xml:space="preserve">[1, 2147483647]</t>
  </si>
  <si>
    <t xml:space="preserve">TC-BVR-N02</t>
  </si>
  <si>
    <t xml:space="preserve">1 (min)</t>
  </si>
  <si>
    <t xml:space="preserve">TC-BVR-N03</t>
  </si>
  <si>
    <t xml:space="preserve">2 (min+)</t>
  </si>
  <si>
    <t xml:space="preserve">TC-BVR-N04</t>
  </si>
  <si>
    <t xml:space="preserve">99 (max-)</t>
  </si>
  <si>
    <t xml:space="preserve">TC-BVR-N05</t>
  </si>
  <si>
    <t xml:space="preserve">100 (max)</t>
  </si>
  <si>
    <t xml:space="preserve">TC-BVR-N06</t>
  </si>
  <si>
    <t xml:space="preserve">TC-BVR-N07</t>
  </si>
  <si>
    <t xml:space="preserve">TC-BVR-N08</t>
  </si>
  <si>
    <t xml:space="preserve">2147483646 (max-)</t>
  </si>
  <si>
    <t xml:space="preserve">TC-BVR-N09</t>
  </si>
  <si>
    <t xml:space="preserve">2147483647 (max)</t>
  </si>
  <si>
    <t xml:space="preserve">Functional testing - Robustness Testing</t>
  </si>
  <si>
    <t xml:space="preserve">TC-BVR-R01</t>
  </si>
  <si>
    <t xml:space="preserve">TC-BVR-R02</t>
  </si>
  <si>
    <t xml:space="preserve">TC-BVR-R03</t>
  </si>
  <si>
    <t xml:space="preserve">TC-BVR-R04</t>
  </si>
  <si>
    <t xml:space="preserve">TC-BVR-R05</t>
  </si>
  <si>
    <t xml:space="preserve">TC-BVR-R06</t>
  </si>
  <si>
    <t xml:space="preserve">TC-BVR-R07</t>
  </si>
  <si>
    <t xml:space="preserve">TC-BVR-R08</t>
  </si>
  <si>
    <t xml:space="preserve">TC-BVR-R09</t>
  </si>
  <si>
    <t xml:space="preserve">TC-BVR-R10</t>
  </si>
  <si>
    <t xml:space="preserve">0 (min-)</t>
  </si>
  <si>
    <r>
      <rPr>
        <sz val="16"/>
        <rFont val="FreeSans"/>
        <family val="2"/>
      </rPr>
      <t xml:space="preserve">ไม่ผ่าน </t>
    </r>
    <r>
      <rPr>
        <sz val="16"/>
        <rFont val="TH SarabunPSK"/>
        <family val="0"/>
        <charset val="1"/>
      </rPr>
      <t xml:space="preserve">validation</t>
    </r>
  </si>
  <si>
    <t xml:space="preserve">TC-BVR-R11</t>
  </si>
  <si>
    <t xml:space="preserve">101 (max+)</t>
  </si>
  <si>
    <t xml:space="preserve">TC-BVR-R12</t>
  </si>
  <si>
    <t xml:space="preserve">Functional testing - Worst-case Testing</t>
  </si>
  <si>
    <t xml:space="preserve">TC-BVR-W01</t>
  </si>
  <si>
    <t xml:space="preserve">TC-BVR-W02</t>
  </si>
  <si>
    <t xml:space="preserve">TC-BVR-W03</t>
  </si>
  <si>
    <t xml:space="preserve">TC-BVR-W04</t>
  </si>
  <si>
    <t xml:space="preserve">TC-BVR-W05</t>
  </si>
  <si>
    <t xml:space="preserve">TC-BVR-W06</t>
  </si>
  <si>
    <t xml:space="preserve">TC-BVR-W07</t>
  </si>
  <si>
    <t xml:space="preserve">TC-BVR-W08</t>
  </si>
  <si>
    <t xml:space="preserve">TC-BVR-W09</t>
  </si>
  <si>
    <t xml:space="preserve">TC-BVR-W10</t>
  </si>
  <si>
    <t xml:space="preserve">TC-BVR-W11</t>
  </si>
  <si>
    <t xml:space="preserve">TC-BVR-W12</t>
  </si>
  <si>
    <t xml:space="preserve">TC-BVR-W13</t>
  </si>
  <si>
    <t xml:space="preserve">TC-BVR-W14</t>
  </si>
  <si>
    <t xml:space="preserve">TC-BVR-W15</t>
  </si>
  <si>
    <t xml:space="preserve">TC-BVR-W16</t>
  </si>
  <si>
    <t xml:space="preserve">TC-BVR-W17</t>
  </si>
  <si>
    <t xml:space="preserve">TC-BVR-W18</t>
  </si>
  <si>
    <t xml:space="preserve">TC-BVR-W19</t>
  </si>
  <si>
    <t xml:space="preserve">TC-BVR-W20</t>
  </si>
  <si>
    <t xml:space="preserve">TC-BVR-W21</t>
  </si>
  <si>
    <t xml:space="preserve">TC-BVR-W22</t>
  </si>
  <si>
    <t xml:space="preserve">TC-BVR-W23</t>
  </si>
  <si>
    <t xml:space="preserve">TC-BVR-W24</t>
  </si>
  <si>
    <t xml:space="preserve">TC-BVR-W25</t>
  </si>
  <si>
    <t xml:space="preserve">Functional testing - Robust Worst-case Testing</t>
  </si>
  <si>
    <t xml:space="preserve">TC-BVR-RW01</t>
  </si>
  <si>
    <t xml:space="preserve">TC-BVR-RW02</t>
  </si>
  <si>
    <t xml:space="preserve">TC-BVR-RW03</t>
  </si>
  <si>
    <t xml:space="preserve">TC-BVR-RW04</t>
  </si>
  <si>
    <t xml:space="preserve">TC-BVR-RW05</t>
  </si>
  <si>
    <t xml:space="preserve">TC-BVR-RW06</t>
  </si>
  <si>
    <t xml:space="preserve">TC-BVR-RW07</t>
  </si>
  <si>
    <t xml:space="preserve">TC-BVR-RW08</t>
  </si>
  <si>
    <t xml:space="preserve">TC-BVR-RW09</t>
  </si>
  <si>
    <t xml:space="preserve">TC-BVR-RW10</t>
  </si>
  <si>
    <t xml:space="preserve">TC-BVR-RW11</t>
  </si>
  <si>
    <t xml:space="preserve">TC-BVR-RW12</t>
  </si>
  <si>
    <t xml:space="preserve">TC-BVR-RW13</t>
  </si>
  <si>
    <t xml:space="preserve">TC-BVR-RW14</t>
  </si>
  <si>
    <t xml:space="preserve">TC-BVR-RW15</t>
  </si>
  <si>
    <t xml:space="preserve">TC-BVR-RW16</t>
  </si>
  <si>
    <t xml:space="preserve">TC-BVR-RW17</t>
  </si>
  <si>
    <t xml:space="preserve">TC-BVR-RW18</t>
  </si>
  <si>
    <t xml:space="preserve">TC-BVR-RW19</t>
  </si>
  <si>
    <t xml:space="preserve">TC-BVR-RW20</t>
  </si>
  <si>
    <t xml:space="preserve">TC-BVR-RW21</t>
  </si>
  <si>
    <t xml:space="preserve">TC-BVR-RW22</t>
  </si>
  <si>
    <t xml:space="preserve">TC-BVR-RW23</t>
  </si>
  <si>
    <t xml:space="preserve">TC-BVR-RW24</t>
  </si>
  <si>
    <t xml:space="preserve">TC-BVR-RW25</t>
  </si>
  <si>
    <t xml:space="preserve">TC-BVR-RW26</t>
  </si>
  <si>
    <t xml:space="preserve">TC-BVR-RW27</t>
  </si>
  <si>
    <t xml:space="preserve">TC-BVR-RW28</t>
  </si>
  <si>
    <t xml:space="preserve">TC-BVR-RW29</t>
  </si>
  <si>
    <t xml:space="preserve">TC-BVR-RW30</t>
  </si>
  <si>
    <t xml:space="preserve">TC-BVR-RW31</t>
  </si>
  <si>
    <t xml:space="preserve">TC-BVR-RW32</t>
  </si>
  <si>
    <t xml:space="preserve">TC-BVR-RW33</t>
  </si>
  <si>
    <t xml:space="preserve">TC-BVR-RW34</t>
  </si>
  <si>
    <t xml:space="preserve">TC-BVR-RW35</t>
  </si>
  <si>
    <t xml:space="preserve">TC-BVR-RW36</t>
  </si>
  <si>
    <t xml:space="preserve">TC-BVR-RW37</t>
  </si>
  <si>
    <t xml:space="preserve">TC-BVR-RW38</t>
  </si>
  <si>
    <t xml:space="preserve">TC-BVR-RW39</t>
  </si>
  <si>
    <t xml:space="preserve">TC-BVR-RW40</t>
  </si>
  <si>
    <t xml:space="preserve">TC-BVR-RW41</t>
  </si>
  <si>
    <t xml:space="preserve">TC-BVR-RW42</t>
  </si>
  <si>
    <t xml:space="preserve">totalQuantity</t>
  </si>
  <si>
    <t xml:space="preserve">Equipment - EquipmentCreateRequest</t>
  </si>
  <si>
    <t xml:space="preserve">TC-BVE-N01</t>
  </si>
  <si>
    <t xml:space="preserve">5 (nom)</t>
  </si>
  <si>
    <t xml:space="preserve">[0, 2147483647]</t>
  </si>
  <si>
    <t xml:space="preserve">TC-BVE-N02</t>
  </si>
  <si>
    <t xml:space="preserve">TC-BVE-N03</t>
  </si>
  <si>
    <t xml:space="preserve">TC-BVE-N04</t>
  </si>
  <si>
    <t xml:space="preserve">TC-BVE-N05</t>
  </si>
  <si>
    <t xml:space="preserve">TC-BVE-N06</t>
  </si>
  <si>
    <t xml:space="preserve">0 (min)</t>
  </si>
  <si>
    <t xml:space="preserve">TC-BVE-N07</t>
  </si>
  <si>
    <t xml:space="preserve">1 (min+)</t>
  </si>
  <si>
    <t xml:space="preserve">TC-BVE-N08</t>
  </si>
  <si>
    <t xml:space="preserve">TC-BVE-N09</t>
  </si>
  <si>
    <t xml:space="preserve">TC-BVE-R01</t>
  </si>
  <si>
    <t xml:space="preserve">TC-BVE-R02</t>
  </si>
  <si>
    <t xml:space="preserve">TC-BVE-R03</t>
  </si>
  <si>
    <t xml:space="preserve">TC-BVE-R04</t>
  </si>
  <si>
    <t xml:space="preserve">TC-BVE-R05</t>
  </si>
  <si>
    <t xml:space="preserve">TC-BVE-R06</t>
  </si>
  <si>
    <t xml:space="preserve">TC-BVE-R07</t>
  </si>
  <si>
    <t xml:space="preserve">TC-BVE-R08</t>
  </si>
  <si>
    <t xml:space="preserve">TC-BVE-R09</t>
  </si>
  <si>
    <t xml:space="preserve">TC-BVE-R10</t>
  </si>
  <si>
    <t xml:space="preserve">TC-BVE-R11</t>
  </si>
  <si>
    <t xml:space="preserve">TC-BVE-R12</t>
  </si>
  <si>
    <t xml:space="preserve">-1 (min-)</t>
  </si>
  <si>
    <t xml:space="preserve">Project</t>
  </si>
  <si>
    <r>
      <rPr>
        <sz val="16"/>
        <rFont val="TH SarabunPSK"/>
        <family val="0"/>
        <charset val="1"/>
      </rPr>
      <t xml:space="preserve">EC21–EC26 (id </t>
    </r>
    <r>
      <rPr>
        <sz val="16"/>
        <rFont val="FreeSans"/>
        <family val="2"/>
      </rPr>
      <t xml:space="preserve">มี</t>
    </r>
    <r>
      <rPr>
        <sz val="16"/>
        <rFont val="TH SarabunPSK"/>
        <family val="0"/>
        <charset val="1"/>
      </rPr>
      <t xml:space="preserve">/</t>
    </r>
    <r>
      <rPr>
        <sz val="16"/>
        <rFont val="FreeSans"/>
        <family val="2"/>
      </rPr>
      <t xml:space="preserve">ไม่มี</t>
    </r>
    <r>
      <rPr>
        <sz val="16"/>
        <rFont val="TH SarabunPSK"/>
        <family val="0"/>
        <charset val="1"/>
      </rPr>
      <t xml:space="preserve">, </t>
    </r>
    <r>
      <rPr>
        <sz val="16"/>
        <rFont val="FreeSans"/>
        <family val="2"/>
      </rPr>
      <t xml:space="preserve">มี</t>
    </r>
    <r>
      <rPr>
        <sz val="16"/>
        <rFont val="TH SarabunPSK"/>
        <family val="0"/>
        <charset val="1"/>
      </rPr>
      <t xml:space="preserve">/</t>
    </r>
    <r>
      <rPr>
        <sz val="16"/>
        <rFont val="FreeSans"/>
        <family val="2"/>
      </rPr>
      <t xml:space="preserve">ไม่มีการจอง</t>
    </r>
    <r>
      <rPr>
        <sz val="16"/>
        <rFont val="TH SarabunPSK"/>
        <family val="0"/>
        <charset val="1"/>
      </rPr>
      <t xml:space="preserve">, RoomType </t>
    </r>
    <r>
      <rPr>
        <sz val="16"/>
        <rFont val="FreeSans"/>
        <family val="2"/>
      </rPr>
      <t xml:space="preserve">มี</t>
    </r>
    <r>
      <rPr>
        <sz val="16"/>
        <rFont val="TH SarabunPSK"/>
        <family val="0"/>
        <charset val="1"/>
      </rPr>
      <t xml:space="preserve">/</t>
    </r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strategy) </t>
    </r>
    <r>
      <rPr>
        <sz val="16"/>
        <rFont val="FreeSans"/>
        <family val="2"/>
      </rPr>
      <t xml:space="preserve">ทดสอบใน </t>
    </r>
    <r>
      <rPr>
        <sz val="16"/>
        <rFont val="TH SarabunPSK"/>
        <family val="0"/>
        <charset val="1"/>
      </rPr>
      <t xml:space="preserve">TS001–TS006, TS009 </t>
    </r>
    <r>
      <rPr>
        <sz val="16"/>
        <rFont val="FreeSans"/>
        <family val="2"/>
      </rPr>
      <t xml:space="preserve">และ </t>
    </r>
    <r>
      <rPr>
        <sz val="16"/>
        <rFont val="TH SarabunPSK"/>
        <family val="0"/>
        <charset val="1"/>
      </rPr>
      <t xml:space="preserve">Decision Table</t>
    </r>
  </si>
  <si>
    <t xml:space="preserve">Equivalence Class Design</t>
  </si>
  <si>
    <t xml:space="preserve">Valid EC</t>
  </si>
  <si>
    <t xml:space="preserve">Invalid EC</t>
  </si>
  <si>
    <t xml:space="preserve">EC ID</t>
  </si>
  <si>
    <t xml:space="preserve">Condition</t>
  </si>
  <si>
    <t xml:space="preserve">EC1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</si>
  <si>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ไม่ว่าง และยาว </t>
    </r>
    <r>
      <rPr>
        <sz val="16"/>
        <rFont val="TH SarabunPSK"/>
        <family val="0"/>
        <charset val="1"/>
      </rPr>
      <t xml:space="preserve">1-100 </t>
    </r>
    <r>
      <rPr>
        <sz val="16"/>
        <rFont val="FreeSans"/>
        <family val="2"/>
      </rPr>
      <t xml:space="preserve">ตัวอักษร</t>
    </r>
  </si>
  <si>
    <t xml:space="preserve">EC2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</si>
  <si>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ว่าง </t>
    </r>
    <r>
      <rPr>
        <sz val="16"/>
        <rFont val="TH SarabunPSK"/>
        <family val="0"/>
        <charset val="1"/>
      </rPr>
      <t xml:space="preserve">/ </t>
    </r>
    <r>
      <rPr>
        <sz val="16"/>
        <rFont val="FreeSans"/>
        <family val="2"/>
      </rPr>
      <t xml:space="preserve">มีแต่ช่องว่าง </t>
    </r>
    <r>
      <rPr>
        <sz val="16"/>
        <rFont val="TH SarabunPSK"/>
        <family val="0"/>
        <charset val="1"/>
      </rPr>
      <t xml:space="preserve">/ null</t>
    </r>
  </si>
  <si>
    <t xml:space="preserve">EC4</t>
  </si>
  <si>
    <r>
      <rPr>
        <sz val="16"/>
        <rFont val="TH SarabunPSK"/>
        <family val="0"/>
        <charset val="1"/>
      </rPr>
      <t xml:space="preserve">capacity </t>
    </r>
    <r>
      <rPr>
        <sz val="16"/>
        <rFont val="FreeSans"/>
        <family val="2"/>
      </rPr>
      <t xml:space="preserve">เป็นจำนวนเต็ม ≥ </t>
    </r>
    <r>
      <rPr>
        <sz val="16"/>
        <rFont val="TH SarabunPSK"/>
        <family val="0"/>
        <charset val="1"/>
      </rPr>
      <t xml:space="preserve">1</t>
    </r>
  </si>
  <si>
    <t xml:space="preserve">EC3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</si>
  <si>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ยาวเกิน </t>
    </r>
    <r>
      <rPr>
        <sz val="16"/>
        <rFont val="TH SarabunPSK"/>
        <family val="0"/>
        <charset val="1"/>
      </rPr>
      <t xml:space="preserve">100 </t>
    </r>
    <r>
      <rPr>
        <sz val="16"/>
        <rFont val="FreeSans"/>
        <family val="2"/>
      </rPr>
      <t xml:space="preserve">ตัวอักษร</t>
    </r>
  </si>
  <si>
    <t xml:space="preserve">EC7</t>
  </si>
  <si>
    <r>
      <rPr>
        <sz val="16"/>
        <rFont val="TH SarabunPSK"/>
        <family val="0"/>
        <charset val="1"/>
      </rPr>
      <t xml:space="preserve">floor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null </t>
    </r>
    <r>
      <rPr>
        <sz val="16"/>
        <rFont val="FreeSans"/>
        <family val="2"/>
      </rPr>
      <t xml:space="preserve">หรือยาว ≤ </t>
    </r>
    <r>
      <rPr>
        <sz val="16"/>
        <rFont val="TH SarabunPSK"/>
        <family val="0"/>
        <charset val="1"/>
      </rPr>
      <t xml:space="preserve">20 </t>
    </r>
    <r>
      <rPr>
        <sz val="16"/>
        <rFont val="FreeSans"/>
        <family val="2"/>
      </rPr>
      <t xml:space="preserve">ตัวอักษร</t>
    </r>
  </si>
  <si>
    <t xml:space="preserve">EC5</t>
  </si>
  <si>
    <t xml:space="preserve">capacity ≤ 0</t>
  </si>
  <si>
    <t xml:space="preserve">EC9</t>
  </si>
  <si>
    <r>
      <rPr>
        <sz val="16"/>
        <rFont val="TH SarabunPSK"/>
        <family val="0"/>
        <charset val="1"/>
      </rPr>
      <t xml:space="preserve">roomType = STANDARD </t>
    </r>
    <r>
      <rPr>
        <sz val="16"/>
        <rFont val="FreeSans"/>
        <family val="2"/>
      </rPr>
      <t xml:space="preserve">หรือ </t>
    </r>
    <r>
      <rPr>
        <sz val="16"/>
        <rFont val="TH SarabunPSK"/>
        <family val="0"/>
        <charset val="1"/>
      </rPr>
      <t xml:space="preserve">VIP</t>
    </r>
  </si>
  <si>
    <t xml:space="preserve">EC6</t>
  </si>
  <si>
    <t xml:space="preserve">capacity = null</t>
  </si>
  <si>
    <t xml:space="preserve">EC11</t>
  </si>
  <si>
    <r>
      <rPr>
        <sz val="16"/>
        <rFont val="TH SarabunPSK"/>
        <family val="0"/>
        <charset val="1"/>
      </rPr>
      <t xml:space="preserve">status = AVAILABLE </t>
    </r>
    <r>
      <rPr>
        <sz val="16"/>
        <rFont val="FreeSans"/>
        <family val="2"/>
      </rPr>
      <t xml:space="preserve">หรือ </t>
    </r>
    <r>
      <rPr>
        <sz val="16"/>
        <rFont val="TH SarabunPSK"/>
        <family val="0"/>
        <charset val="1"/>
      </rPr>
      <t xml:space="preserve">MAINTENANCE</t>
    </r>
  </si>
  <si>
    <t xml:space="preserve">EC8</t>
  </si>
  <si>
    <r>
      <rPr>
        <sz val="16"/>
        <rFont val="TH SarabunPSK"/>
        <family val="0"/>
        <charset val="1"/>
      </rPr>
      <t xml:space="preserve">floor </t>
    </r>
    <r>
      <rPr>
        <sz val="16"/>
        <rFont val="FreeSans"/>
        <family val="2"/>
      </rPr>
      <t xml:space="preserve">ยาวเกิน </t>
    </r>
    <r>
      <rPr>
        <sz val="16"/>
        <rFont val="TH SarabunPSK"/>
        <family val="0"/>
        <charset val="1"/>
      </rPr>
      <t xml:space="preserve">20 </t>
    </r>
    <r>
      <rPr>
        <sz val="16"/>
        <rFont val="FreeSans"/>
        <family val="2"/>
      </rPr>
      <t xml:space="preserve">ตัวอักษร</t>
    </r>
  </si>
  <si>
    <t xml:space="preserve">EC10</t>
  </si>
  <si>
    <t xml:space="preserve">roomType = null</t>
  </si>
  <si>
    <t xml:space="preserve">EC12</t>
  </si>
  <si>
    <t xml:space="preserve">status = null</t>
  </si>
  <si>
    <t xml:space="preserve">Functional testing - Weak Robust Equivalence Class Testing (single fault)</t>
  </si>
  <si>
    <t xml:space="preserve">name</t>
  </si>
  <si>
    <t xml:space="preserve">floor</t>
  </si>
  <si>
    <t xml:space="preserve">roomType</t>
  </si>
  <si>
    <t xml:space="preserve">status</t>
  </si>
  <si>
    <t xml:space="preserve">TC-ECR-V01</t>
  </si>
  <si>
    <t xml:space="preserve">Room A</t>
  </si>
  <si>
    <t xml:space="preserve">2</t>
  </si>
  <si>
    <t xml:space="preserve">STANDARD</t>
  </si>
  <si>
    <t xml:space="preserve">AVAILABLE</t>
  </si>
  <si>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violation</t>
    </r>
  </si>
  <si>
    <t xml:space="preserve">TC-ECR-V02</t>
  </si>
  <si>
    <t xml:space="preserve">null</t>
  </si>
  <si>
    <t xml:space="preserve">TC-ECR-V03</t>
  </si>
  <si>
    <t xml:space="preserve">F × 20</t>
  </si>
  <si>
    <t xml:space="preserve">TC-ECR-V04</t>
  </si>
  <si>
    <t xml:space="preserve">VIP</t>
  </si>
  <si>
    <t xml:space="preserve">TC-ECR-V05</t>
  </si>
  <si>
    <t xml:space="preserve">MAINTENANCE</t>
  </si>
  <si>
    <t xml:space="preserve">TC-ECR-I01</t>
  </si>
  <si>
    <t xml:space="preserve">""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</si>
  <si>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name</t>
    </r>
  </si>
  <si>
    <t xml:space="preserve">TC-ECR-I02</t>
  </si>
  <si>
    <t xml:space="preserve">"   "</t>
  </si>
  <si>
    <t xml:space="preserve">TC-ECR-I03</t>
  </si>
  <si>
    <t xml:space="preserve">TC-ECR-I04</t>
  </si>
  <si>
    <t xml:space="preserve">A × 101</t>
  </si>
  <si>
    <t xml:space="preserve">TC-ECR-I05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</si>
  <si>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capacity</t>
    </r>
  </si>
  <si>
    <t xml:space="preserve">TC-ECR-I06</t>
  </si>
  <si>
    <t xml:space="preserve">TC-ECR-I07</t>
  </si>
  <si>
    <t xml:space="preserve">TC-ECR-I08</t>
  </si>
  <si>
    <t xml:space="preserve">F × 21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</si>
  <si>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floor</t>
    </r>
  </si>
  <si>
    <t xml:space="preserve">TC-ECR-I09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</si>
  <si>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roomType</t>
    </r>
  </si>
  <si>
    <t xml:space="preserve">TC-ECR-I10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</si>
  <si>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status</t>
    </r>
  </si>
  <si>
    <t xml:space="preserve">EC13</t>
  </si>
  <si>
    <t xml:space="preserve">EC14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</si>
  <si>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ว่าง </t>
    </r>
    <r>
      <rPr>
        <sz val="16"/>
        <rFont val="TH SarabunPSK"/>
        <family val="0"/>
        <charset val="1"/>
      </rPr>
      <t xml:space="preserve">/ </t>
    </r>
    <r>
      <rPr>
        <sz val="16"/>
        <rFont val="FreeSans"/>
        <family val="2"/>
      </rPr>
      <t xml:space="preserve">มีแต่ช่องว่าง</t>
    </r>
  </si>
  <si>
    <t xml:space="preserve">EC16</t>
  </si>
  <si>
    <r>
      <rPr>
        <sz val="16"/>
        <rFont val="TH SarabunPSK"/>
        <family val="0"/>
        <charset val="1"/>
      </rPr>
      <t xml:space="preserve">totalQuantity </t>
    </r>
    <r>
      <rPr>
        <sz val="16"/>
        <rFont val="FreeSans"/>
        <family val="2"/>
      </rPr>
      <t xml:space="preserve">เป็นจำนวนเต็ม ≥ </t>
    </r>
    <r>
      <rPr>
        <sz val="16"/>
        <rFont val="TH SarabunPSK"/>
        <family val="0"/>
        <charset val="1"/>
      </rPr>
      <t xml:space="preserve">0</t>
    </r>
  </si>
  <si>
    <t xml:space="preserve">EC15</t>
  </si>
  <si>
    <t xml:space="preserve">EC19</t>
  </si>
  <si>
    <r>
      <rPr>
        <sz val="16"/>
        <rFont val="TH SarabunPSK"/>
        <family val="0"/>
        <charset val="1"/>
      </rPr>
      <t xml:space="preserve">category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null </t>
    </r>
    <r>
      <rPr>
        <sz val="16"/>
        <rFont val="FreeSans"/>
        <family val="2"/>
      </rPr>
      <t xml:space="preserve">หรือยาว ≤ </t>
    </r>
    <r>
      <rPr>
        <sz val="16"/>
        <rFont val="TH SarabunPSK"/>
        <family val="0"/>
        <charset val="1"/>
      </rPr>
      <t xml:space="preserve">50 </t>
    </r>
    <r>
      <rPr>
        <sz val="16"/>
        <rFont val="FreeSans"/>
        <family val="2"/>
      </rPr>
      <t xml:space="preserve">ตัวอักษร</t>
    </r>
  </si>
  <si>
    <t xml:space="preserve">EC17</t>
  </si>
  <si>
    <t xml:space="preserve">totalQuantity &lt; 0</t>
  </si>
  <si>
    <t xml:space="preserve">EC18</t>
  </si>
  <si>
    <t xml:space="preserve">totalQuantity = null</t>
  </si>
  <si>
    <t xml:space="preserve">EC20</t>
  </si>
  <si>
    <r>
      <rPr>
        <sz val="16"/>
        <rFont val="TH SarabunPSK"/>
        <family val="0"/>
        <charset val="1"/>
      </rPr>
      <t xml:space="preserve">category </t>
    </r>
    <r>
      <rPr>
        <sz val="16"/>
        <rFont val="FreeSans"/>
        <family val="2"/>
      </rPr>
      <t xml:space="preserve">ยาวเกิน </t>
    </r>
    <r>
      <rPr>
        <sz val="16"/>
        <rFont val="TH SarabunPSK"/>
        <family val="0"/>
        <charset val="1"/>
      </rPr>
      <t xml:space="preserve">50 </t>
    </r>
    <r>
      <rPr>
        <sz val="16"/>
        <rFont val="FreeSans"/>
        <family val="2"/>
      </rPr>
      <t xml:space="preserve">ตัวอักษร</t>
    </r>
  </si>
  <si>
    <t xml:space="preserve">category</t>
  </si>
  <si>
    <t xml:space="preserve">TC-ECE-V01</t>
  </si>
  <si>
    <t xml:space="preserve">Projector</t>
  </si>
  <si>
    <t xml:space="preserve">Display</t>
  </si>
  <si>
    <t xml:space="preserve">TC-ECE-V02</t>
  </si>
  <si>
    <t xml:space="preserve">TC-ECE-V03</t>
  </si>
  <si>
    <t xml:space="preserve">TC-ECE-V04</t>
  </si>
  <si>
    <t xml:space="preserve">C × 50</t>
  </si>
  <si>
    <t xml:space="preserve">TC-ECE-I01</t>
  </si>
  <si>
    <t xml:space="preserve">TC-ECE-I02</t>
  </si>
  <si>
    <t xml:space="preserve">TC-ECE-I03</t>
  </si>
  <si>
    <t xml:space="preserve">P × 101</t>
  </si>
  <si>
    <t xml:space="preserve">TC-ECE-I04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</si>
  <si>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totalQuantity</t>
    </r>
  </si>
  <si>
    <t xml:space="preserve">TC-ECE-I05</t>
  </si>
  <si>
    <t xml:space="preserve">TC-ECE-I06</t>
  </si>
  <si>
    <t xml:space="preserve">C × 51</t>
  </si>
  <si>
    <r>
      <rPr>
        <sz val="16"/>
        <rFont val="TH SarabunPSK"/>
        <family val="0"/>
        <charset val="1"/>
      </rPr>
      <t xml:space="preserve">violation 1 </t>
    </r>
    <r>
      <rPr>
        <sz val="16"/>
        <rFont val="FreeSans"/>
        <family val="2"/>
      </rPr>
      <t xml:space="preserve">รายการ ที่ </t>
    </r>
    <r>
      <rPr>
        <sz val="16"/>
        <rFont val="TH SarabunPSK"/>
        <family val="0"/>
        <charset val="1"/>
      </rPr>
      <t xml:space="preserve">field category</t>
    </r>
  </si>
  <si>
    <r>
      <rPr>
        <b val="true"/>
        <sz val="16"/>
        <rFont val="TH SarabunPSK"/>
        <family val="0"/>
        <charset val="1"/>
      </rPr>
      <t xml:space="preserve">DT1: </t>
    </r>
    <r>
      <rPr>
        <b val="true"/>
        <sz val="16"/>
        <rFont val="FreeSans"/>
        <family val="2"/>
      </rPr>
      <t xml:space="preserve">ลบห้อง </t>
    </r>
    <r>
      <rPr>
        <b val="true"/>
        <sz val="16"/>
        <rFont val="TH SarabunPSK"/>
        <family val="0"/>
        <charset val="1"/>
      </rPr>
      <t xml:space="preserve">/ </t>
    </r>
    <r>
      <rPr>
        <b val="true"/>
        <sz val="16"/>
        <rFont val="FreeSans"/>
        <family val="2"/>
      </rPr>
      <t xml:space="preserve">อุปกรณ์ </t>
    </r>
    <r>
      <rPr>
        <b val="true"/>
        <sz val="16"/>
        <rFont val="TH SarabunPSK"/>
        <family val="0"/>
        <charset val="1"/>
      </rPr>
      <t xml:space="preserve">(deleteRoom, deleteEquipment)</t>
    </r>
  </si>
  <si>
    <t xml:space="preserve">Rule#1</t>
  </si>
  <si>
    <t xml:space="preserve">Rule#2</t>
  </si>
  <si>
    <t xml:space="preserve">Rule#3</t>
  </si>
  <si>
    <t xml:space="preserve">Rule#4</t>
  </si>
  <si>
    <r>
      <rPr>
        <sz val="16"/>
        <rFont val="TH SarabunPSK"/>
        <family val="0"/>
        <charset val="1"/>
      </rPr>
      <t xml:space="preserve">C1: id </t>
    </r>
    <r>
      <rPr>
        <sz val="16"/>
        <rFont val="FreeSans"/>
        <family val="2"/>
      </rPr>
      <t xml:space="preserve">มีอยู่ในระบบ</t>
    </r>
  </si>
  <si>
    <t xml:space="preserve">T</t>
  </si>
  <si>
    <t xml:space="preserve">F</t>
  </si>
  <si>
    <r>
      <rPr>
        <sz val="16"/>
        <rFont val="TH SarabunPSK"/>
        <family val="0"/>
        <charset val="1"/>
      </rPr>
      <t xml:space="preserve">C2: </t>
    </r>
    <r>
      <rPr>
        <sz val="16"/>
        <rFont val="FreeSans"/>
        <family val="2"/>
      </rPr>
      <t xml:space="preserve">มีการจองผูกอยู่ </t>
    </r>
    <r>
      <rPr>
        <sz val="16"/>
        <rFont val="TH SarabunPSK"/>
        <family val="0"/>
        <charset val="1"/>
      </rPr>
      <t xml:space="preserve">(foreign key)</t>
    </r>
  </si>
  <si>
    <t xml:space="preserve">Action</t>
  </si>
  <si>
    <t xml:space="preserve">A1: throw ConflictException → 409</t>
  </si>
  <si>
    <t xml:space="preserve">X</t>
  </si>
  <si>
    <r>
      <rPr>
        <sz val="16"/>
        <rFont val="TH SarabunPSK"/>
        <family val="0"/>
        <charset val="1"/>
      </rPr>
      <t xml:space="preserve">A2: </t>
    </r>
    <r>
      <rPr>
        <sz val="16"/>
        <rFont val="FreeSans"/>
        <family val="2"/>
      </rPr>
      <t xml:space="preserve">ลบสำเร็จ → </t>
    </r>
    <r>
      <rPr>
        <sz val="16"/>
        <rFont val="TH SarabunPSK"/>
        <family val="0"/>
        <charset val="1"/>
      </rPr>
      <t xml:space="preserve">204</t>
    </r>
  </si>
  <si>
    <t xml:space="preserve">A3: throw ResourceNotFoundException → 404</t>
  </si>
  <si>
    <t xml:space="preserve">Impossible</t>
  </si>
  <si>
    <r>
      <rPr>
        <b val="true"/>
        <sz val="16"/>
        <rFont val="TH SarabunPSK"/>
        <family val="0"/>
        <charset val="1"/>
      </rPr>
      <t xml:space="preserve">DT2: </t>
    </r>
    <r>
      <rPr>
        <b val="true"/>
        <sz val="16"/>
        <rFont val="FreeSans"/>
        <family val="2"/>
      </rPr>
      <t xml:space="preserve">แก้ไขอุปกรณ์ </t>
    </r>
    <r>
      <rPr>
        <b val="true"/>
        <sz val="16"/>
        <rFont val="TH SarabunPSK"/>
        <family val="0"/>
        <charset val="1"/>
      </rPr>
      <t xml:space="preserve">(updateEquipment)</t>
    </r>
  </si>
  <si>
    <t xml:space="preserve">C2: totalQuantity ≥ 0</t>
  </si>
  <si>
    <r>
      <rPr>
        <sz val="16"/>
        <rFont val="TH SarabunPSK"/>
        <family val="0"/>
        <charset val="1"/>
      </rPr>
      <t xml:space="preserve">A1: </t>
    </r>
    <r>
      <rPr>
        <sz val="16"/>
        <rFont val="FreeSans"/>
        <family val="2"/>
      </rPr>
      <t xml:space="preserve">อัปเดตและ </t>
    </r>
    <r>
      <rPr>
        <sz val="16"/>
        <rFont val="TH SarabunPSK"/>
        <family val="0"/>
        <charset val="1"/>
      </rPr>
      <t xml:space="preserve">save </t>
    </r>
    <r>
      <rPr>
        <sz val="16"/>
        <rFont val="FreeSans"/>
        <family val="2"/>
      </rPr>
      <t xml:space="preserve">สำเร็จ</t>
    </r>
  </si>
  <si>
    <r>
      <rPr>
        <sz val="16"/>
        <rFont val="TH SarabunPSK"/>
        <family val="0"/>
        <charset val="1"/>
      </rPr>
      <t xml:space="preserve">A2: throw IllegalArgumentException </t>
    </r>
    <r>
      <rPr>
        <sz val="16"/>
        <rFont val="FreeSans"/>
        <family val="2"/>
      </rPr>
      <t xml:space="preserve">และไม่ </t>
    </r>
    <r>
      <rPr>
        <sz val="16"/>
        <rFont val="TH SarabunPSK"/>
        <family val="0"/>
        <charset val="1"/>
      </rPr>
      <t xml:space="preserve">save</t>
    </r>
  </si>
  <si>
    <r>
      <rPr>
        <b val="true"/>
        <sz val="16"/>
        <rFont val="TH SarabunPSK"/>
        <family val="0"/>
        <charset val="1"/>
      </rPr>
      <t xml:space="preserve">DT3: </t>
    </r>
    <r>
      <rPr>
        <b val="true"/>
        <sz val="16"/>
        <rFont val="FreeSans"/>
        <family val="2"/>
      </rPr>
      <t xml:space="preserve">กฎการอนุมัติการจอง </t>
    </r>
    <r>
      <rPr>
        <b val="true"/>
        <sz val="16"/>
        <rFont val="TH SarabunPSK"/>
        <family val="0"/>
        <charset val="1"/>
      </rPr>
      <t xml:space="preserve">(createBooking + Strategy)</t>
    </r>
  </si>
  <si>
    <r>
      <rPr>
        <sz val="16"/>
        <rFont val="TH SarabunPSK"/>
        <family val="0"/>
        <charset val="1"/>
      </rPr>
      <t xml:space="preserve">C1: </t>
    </r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strategy </t>
    </r>
    <r>
      <rPr>
        <sz val="16"/>
        <rFont val="FreeSans"/>
        <family val="2"/>
      </rPr>
      <t xml:space="preserve">รองรับประเภทห้อง</t>
    </r>
  </si>
  <si>
    <t xml:space="preserve">C2: requiresApproval = true (VIP)</t>
  </si>
  <si>
    <r>
      <rPr>
        <sz val="16"/>
        <rFont val="TH SarabunPSK"/>
        <family val="0"/>
        <charset val="1"/>
      </rPr>
      <t xml:space="preserve">A1: </t>
    </r>
    <r>
      <rPr>
        <sz val="16"/>
        <rFont val="FreeSans"/>
        <family val="2"/>
      </rPr>
      <t xml:space="preserve">สถานะคงเป็น </t>
    </r>
    <r>
      <rPr>
        <sz val="16"/>
        <rFont val="TH SarabunPSK"/>
        <family val="0"/>
        <charset val="1"/>
      </rPr>
      <t xml:space="preserve">PENDING </t>
    </r>
    <r>
      <rPr>
        <sz val="16"/>
        <rFont val="FreeSans"/>
        <family val="2"/>
      </rPr>
      <t xml:space="preserve">รอ </t>
    </r>
    <r>
      <rPr>
        <sz val="16"/>
        <rFont val="TH SarabunPSK"/>
        <family val="0"/>
        <charset val="1"/>
      </rPr>
      <t xml:space="preserve">admin</t>
    </r>
  </si>
  <si>
    <r>
      <rPr>
        <sz val="16"/>
        <rFont val="TH SarabunPSK"/>
        <family val="0"/>
        <charset val="1"/>
      </rPr>
      <t xml:space="preserve">A2: </t>
    </r>
    <r>
      <rPr>
        <sz val="16"/>
        <rFont val="FreeSans"/>
        <family val="2"/>
      </rPr>
      <t xml:space="preserve">อนุมัติอัตโนมัติ → </t>
    </r>
    <r>
      <rPr>
        <sz val="16"/>
        <rFont val="TH SarabunPSK"/>
        <family val="0"/>
        <charset val="1"/>
      </rPr>
      <t xml:space="preserve">APPROVED</t>
    </r>
  </si>
  <si>
    <t xml:space="preserve">A3: throw IllegalArgumentException</t>
  </si>
  <si>
    <r>
      <rPr>
        <b val="true"/>
        <sz val="16"/>
        <rFont val="TH SarabunPSK"/>
        <family val="0"/>
        <charset val="1"/>
      </rPr>
      <t xml:space="preserve">DT4: </t>
    </r>
    <r>
      <rPr>
        <b val="true"/>
        <sz val="16"/>
        <rFont val="FreeSans"/>
        <family val="2"/>
      </rPr>
      <t xml:space="preserve">สร้าง </t>
    </r>
    <r>
      <rPr>
        <b val="true"/>
        <sz val="16"/>
        <rFont val="TH SarabunPSK"/>
        <family val="0"/>
        <charset val="1"/>
      </rPr>
      <t xml:space="preserve">/ </t>
    </r>
    <r>
      <rPr>
        <b val="true"/>
        <sz val="16"/>
        <rFont val="FreeSans"/>
        <family val="2"/>
      </rPr>
      <t xml:space="preserve">แก้ไขผ่าน </t>
    </r>
    <r>
      <rPr>
        <b val="true"/>
        <sz val="16"/>
        <rFont val="TH SarabunPSK"/>
        <family val="0"/>
        <charset val="1"/>
      </rPr>
      <t xml:space="preserve">REST API</t>
    </r>
  </si>
  <si>
    <r>
      <rPr>
        <sz val="16"/>
        <rFont val="TH SarabunPSK"/>
        <family val="0"/>
        <charset val="1"/>
      </rPr>
      <t xml:space="preserve">C1: request body </t>
    </r>
    <r>
      <rPr>
        <sz val="16"/>
        <rFont val="FreeSans"/>
        <family val="2"/>
      </rPr>
      <t xml:space="preserve">อ่านได้และผ่าน </t>
    </r>
    <r>
      <rPr>
        <sz val="16"/>
        <rFont val="TH SarabunPSK"/>
        <family val="0"/>
        <charset val="1"/>
      </rPr>
      <t xml:space="preserve">@Valid</t>
    </r>
  </si>
  <si>
    <r>
      <rPr>
        <sz val="16"/>
        <rFont val="TH SarabunPSK"/>
        <family val="0"/>
        <charset val="1"/>
      </rPr>
      <t xml:space="preserve">A1: </t>
    </r>
    <r>
      <rPr>
        <sz val="16"/>
        <rFont val="FreeSans"/>
        <family val="2"/>
      </rPr>
      <t xml:space="preserve">เรียก </t>
    </r>
    <r>
      <rPr>
        <sz val="16"/>
        <rFont val="TH SarabunPSK"/>
        <family val="0"/>
        <charset val="1"/>
      </rPr>
      <t xml:space="preserve">service → 201 Created / 200 OK</t>
    </r>
  </si>
  <si>
    <r>
      <rPr>
        <sz val="16"/>
        <rFont val="TH SarabunPSK"/>
        <family val="0"/>
        <charset val="1"/>
      </rPr>
      <t xml:space="preserve">A2: 400 Bad Request </t>
    </r>
    <r>
      <rPr>
        <sz val="16"/>
        <rFont val="FreeSans"/>
        <family val="2"/>
      </rPr>
      <t xml:space="preserve">และไม่เรียก </t>
    </r>
    <r>
      <rPr>
        <sz val="16"/>
        <rFont val="TH SarabunPSK"/>
        <family val="0"/>
        <charset val="1"/>
      </rPr>
      <t xml:space="preserve">service</t>
    </r>
  </si>
  <si>
    <r>
      <rPr>
        <b val="true"/>
        <sz val="16"/>
        <rFont val="TH SarabunPSK"/>
        <family val="0"/>
        <charset val="1"/>
      </rPr>
      <t xml:space="preserve">DT5: </t>
    </r>
    <r>
      <rPr>
        <b val="true"/>
        <sz val="16"/>
        <rFont val="FreeSans"/>
        <family val="2"/>
      </rPr>
      <t xml:space="preserve">กฎการอนุมัติตาม </t>
    </r>
    <r>
      <rPr>
        <b val="true"/>
        <sz val="16"/>
        <rFont val="TH SarabunPSK"/>
        <family val="0"/>
        <charset val="1"/>
      </rPr>
      <t xml:space="preserve">RoomType</t>
    </r>
  </si>
  <si>
    <t xml:space="preserve">Equivalence class</t>
  </si>
  <si>
    <t xml:space="preserve">EC1 = RoomType.STANDARD</t>
  </si>
  <si>
    <t xml:space="preserve">EC2 = RoomType.VIP</t>
  </si>
  <si>
    <r>
      <rPr>
        <sz val="16"/>
        <rFont val="TH SarabunPSK"/>
        <family val="0"/>
        <charset val="1"/>
      </rPr>
      <t xml:space="preserve">EC3 = RoomType </t>
    </r>
    <r>
      <rPr>
        <sz val="16"/>
        <rFont val="FreeSans"/>
        <family val="2"/>
      </rPr>
      <t xml:space="preserve">ที่ไม่มี </t>
    </r>
    <r>
      <rPr>
        <sz val="16"/>
        <rFont val="TH SarabunPSK"/>
        <family val="0"/>
        <charset val="1"/>
      </rPr>
      <t xml:space="preserve">strategy</t>
    </r>
  </si>
  <si>
    <t xml:space="preserve">C1: RoomType</t>
  </si>
  <si>
    <r>
      <rPr>
        <sz val="16"/>
        <rFont val="TH SarabunPSK"/>
        <family val="0"/>
        <charset val="1"/>
      </rPr>
      <t xml:space="preserve">A1: APPROVED </t>
    </r>
    <r>
      <rPr>
        <sz val="16"/>
        <rFont val="FreeSans"/>
        <family val="2"/>
      </rPr>
      <t xml:space="preserve">ทันที</t>
    </r>
  </si>
  <si>
    <r>
      <rPr>
        <sz val="16"/>
        <rFont val="TH SarabunPSK"/>
        <family val="0"/>
        <charset val="1"/>
      </rPr>
      <t xml:space="preserve">A2: PENDING </t>
    </r>
    <r>
      <rPr>
        <sz val="16"/>
        <rFont val="FreeSans"/>
        <family val="2"/>
      </rPr>
      <t xml:space="preserve">รอ </t>
    </r>
    <r>
      <rPr>
        <sz val="16"/>
        <rFont val="TH SarabunPSK"/>
        <family val="0"/>
        <charset val="1"/>
      </rPr>
      <t xml:space="preserve">admin</t>
    </r>
  </si>
  <si>
    <r>
      <rPr>
        <b val="true"/>
        <sz val="16"/>
        <rFont val="TH SarabunPSK"/>
        <family val="0"/>
        <charset val="1"/>
      </rPr>
      <t xml:space="preserve">DT6: validation </t>
    </r>
    <r>
      <rPr>
        <b val="true"/>
        <sz val="16"/>
        <rFont val="FreeSans"/>
        <family val="2"/>
      </rPr>
      <t xml:space="preserve">ของห้อง </t>
    </r>
    <r>
      <rPr>
        <b val="true"/>
        <sz val="16"/>
        <rFont val="TH SarabunPSK"/>
        <family val="0"/>
        <charset val="1"/>
      </rPr>
      <t xml:space="preserve">(name × capacity)</t>
    </r>
  </si>
  <si>
    <r>
      <rPr>
        <sz val="16"/>
        <rFont val="TH SarabunPSK"/>
        <family val="0"/>
        <charset val="1"/>
      </rPr>
      <t xml:space="preserve">EC1 = </t>
    </r>
    <r>
      <rPr>
        <sz val="16"/>
        <rFont val="FreeSans"/>
        <family val="2"/>
      </rPr>
      <t xml:space="preserve">ความยาว </t>
    </r>
    <r>
      <rPr>
        <sz val="16"/>
        <rFont val="TH SarabunPSK"/>
        <family val="0"/>
        <charset val="1"/>
      </rPr>
      <t xml:space="preserve">name 1–100</t>
    </r>
  </si>
  <si>
    <r>
      <rPr>
        <sz val="16"/>
        <rFont val="TH SarabunPSK"/>
        <family val="0"/>
        <charset val="1"/>
      </rPr>
      <t xml:space="preserve">EC2 = name </t>
    </r>
    <r>
      <rPr>
        <sz val="16"/>
        <rFont val="FreeSans"/>
        <family val="2"/>
      </rPr>
      <t xml:space="preserve">ว่าง </t>
    </r>
    <r>
      <rPr>
        <sz val="16"/>
        <rFont val="TH SarabunPSK"/>
        <family val="0"/>
        <charset val="1"/>
      </rPr>
      <t xml:space="preserve">/ </t>
    </r>
    <r>
      <rPr>
        <sz val="16"/>
        <rFont val="FreeSans"/>
        <family val="2"/>
      </rPr>
      <t xml:space="preserve">ช่องว่าง </t>
    </r>
    <r>
      <rPr>
        <sz val="16"/>
        <rFont val="TH SarabunPSK"/>
        <family val="0"/>
        <charset val="1"/>
      </rPr>
      <t xml:space="preserve">/ null</t>
    </r>
  </si>
  <si>
    <r>
      <rPr>
        <sz val="16"/>
        <rFont val="TH SarabunPSK"/>
        <family val="0"/>
        <charset val="1"/>
      </rPr>
      <t xml:space="preserve">EC3 = </t>
    </r>
    <r>
      <rPr>
        <sz val="16"/>
        <rFont val="FreeSans"/>
        <family val="2"/>
      </rPr>
      <t xml:space="preserve">ความยาว </t>
    </r>
    <r>
      <rPr>
        <sz val="16"/>
        <rFont val="TH SarabunPSK"/>
        <family val="0"/>
        <charset val="1"/>
      </rPr>
      <t xml:space="preserve">name ≥ 101</t>
    </r>
  </si>
  <si>
    <t xml:space="preserve">EC4 = capacity ≥ 1</t>
  </si>
  <si>
    <t xml:space="preserve">EC5 = capacity ≤ 0</t>
  </si>
  <si>
    <t xml:space="preserve">EC6 = capacity = null</t>
  </si>
  <si>
    <t xml:space="preserve">Rule#5</t>
  </si>
  <si>
    <t xml:space="preserve">C1: name</t>
  </si>
  <si>
    <t xml:space="preserve">C2: capacity</t>
  </si>
  <si>
    <r>
      <rPr>
        <sz val="16"/>
        <rFont val="TH SarabunPSK"/>
        <family val="0"/>
        <charset val="1"/>
      </rPr>
      <t xml:space="preserve">A1: </t>
    </r>
    <r>
      <rPr>
        <sz val="16"/>
        <rFont val="FreeSans"/>
        <family val="2"/>
      </rPr>
      <t xml:space="preserve">ผ่าน </t>
    </r>
    <r>
      <rPr>
        <sz val="16"/>
        <rFont val="TH SarabunPSK"/>
        <family val="0"/>
        <charset val="1"/>
      </rPr>
      <t xml:space="preserve">validation (→ 201)</t>
    </r>
  </si>
  <si>
    <r>
      <rPr>
        <sz val="16"/>
        <rFont val="TH SarabunPSK"/>
        <family val="0"/>
        <charset val="1"/>
      </rPr>
      <t xml:space="preserve">A2: </t>
    </r>
    <r>
      <rPr>
        <sz val="16"/>
        <rFont val="FreeSans"/>
        <family val="2"/>
      </rPr>
      <t xml:space="preserve">ไม่ผ่าน </t>
    </r>
    <r>
      <rPr>
        <sz val="16"/>
        <rFont val="TH SarabunPSK"/>
        <family val="0"/>
        <charset val="1"/>
      </rPr>
      <t xml:space="preserve">validation (→ 400)</t>
    </r>
  </si>
  <si>
    <t xml:space="preserve">Room / Equipment / Booking rule</t>
  </si>
  <si>
    <t xml:space="preserve">Functional testing - Decision Table (Limited Entry)</t>
  </si>
  <si>
    <t xml:space="preserve">Rule#</t>
  </si>
  <si>
    <t xml:space="preserve">Method / Request</t>
  </si>
  <si>
    <t xml:space="preserve">Data</t>
  </si>
  <si>
    <t xml:space="preserve">DT1 Rule#1</t>
  </si>
  <si>
    <t xml:space="preserve">TC-RS10</t>
  </si>
  <si>
    <t xml:space="preserve">deleteRoom(id)</t>
  </si>
  <si>
    <r>
      <rPr>
        <sz val="16"/>
        <rFont val="TH SarabunPSK"/>
        <family val="0"/>
        <charset val="1"/>
      </rPr>
      <t xml:space="preserve">id=1, flush()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DataIntegrityViolationException</t>
    </r>
  </si>
  <si>
    <t xml:space="preserve">ห้องมีการจองผูกอยู่</t>
  </si>
  <si>
    <t xml:space="preserve">throw ConflictException</t>
  </si>
  <si>
    <t xml:space="preserve">TC-ES12</t>
  </si>
  <si>
    <t xml:space="preserve">deleteEquipment(id)</t>
  </si>
  <si>
    <t xml:space="preserve">อุปกรณ์ถูกใช้ในการจอง</t>
  </si>
  <si>
    <t xml:space="preserve">TC-RC05</t>
  </si>
  <si>
    <t xml:space="preserve">DELETE /api/v1/rooms/1</t>
  </si>
  <si>
    <r>
      <rPr>
        <sz val="16"/>
        <rFont val="TH SarabunPSK"/>
        <family val="0"/>
        <charset val="1"/>
      </rPr>
      <t xml:space="preserve">id=1 (service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ConflictException)</t>
    </r>
  </si>
  <si>
    <t xml:space="preserve">409 Conflict</t>
  </si>
  <si>
    <t xml:space="preserve">TC-EC05</t>
  </si>
  <si>
    <t xml:space="preserve">DELETE /api/v1/equipments/1</t>
  </si>
  <si>
    <t xml:space="preserve">TC-IT01</t>
  </si>
  <si>
    <t xml:space="preserve">DELETE /api/v1/rooms/{id}</t>
  </si>
  <si>
    <r>
      <rPr>
        <sz val="16"/>
        <rFont val="FreeSans"/>
        <family val="2"/>
      </rPr>
      <t xml:space="preserve">ห้องที่มี </t>
    </r>
    <r>
      <rPr>
        <sz val="16"/>
        <rFont val="TH SarabunPSK"/>
        <family val="0"/>
        <charset val="1"/>
      </rPr>
      <t xml:space="preserve">booking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DB </t>
    </r>
    <r>
      <rPr>
        <sz val="16"/>
        <rFont val="FreeSans"/>
        <family val="2"/>
      </rPr>
      <t xml:space="preserve">จริง</t>
    </r>
  </si>
  <si>
    <r>
      <rPr>
        <sz val="16"/>
        <rFont val="TH SarabunPSK"/>
        <family val="0"/>
        <charset val="1"/>
      </rPr>
      <t xml:space="preserve">409 + message </t>
    </r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"(id: x)" </t>
    </r>
    <r>
      <rPr>
        <sz val="16"/>
        <rFont val="FreeSans"/>
        <family val="2"/>
      </rPr>
      <t xml:space="preserve">และห้องยังอยู่ใน </t>
    </r>
    <r>
      <rPr>
        <sz val="16"/>
        <rFont val="TH SarabunPSK"/>
        <family val="0"/>
        <charset val="1"/>
      </rPr>
      <t xml:space="preserve">DB</t>
    </r>
  </si>
  <si>
    <t xml:space="preserve">TC-IT03</t>
  </si>
  <si>
    <t xml:space="preserve">DELETE /api/v1/equipments/{id}</t>
  </si>
  <si>
    <r>
      <rPr>
        <sz val="16"/>
        <rFont val="FreeSans"/>
        <family val="2"/>
      </rPr>
      <t xml:space="preserve">อุปกรณ์ที่ผูกกับ </t>
    </r>
    <r>
      <rPr>
        <sz val="16"/>
        <rFont val="TH SarabunPSK"/>
        <family val="0"/>
        <charset val="1"/>
      </rPr>
      <t xml:space="preserve">booking_equipment</t>
    </r>
  </si>
  <si>
    <r>
      <rPr>
        <sz val="16"/>
        <rFont val="TH SarabunPSK"/>
        <family val="0"/>
        <charset val="1"/>
      </rPr>
      <t xml:space="preserve">409 + message </t>
    </r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"(id: x)" </t>
    </r>
    <r>
      <rPr>
        <sz val="16"/>
        <rFont val="FreeSans"/>
        <family val="2"/>
      </rPr>
      <t xml:space="preserve">และอุปกรณ์ยังอยู่</t>
    </r>
  </si>
  <si>
    <t xml:space="preserve">DT1 Rule#2</t>
  </si>
  <si>
    <t xml:space="preserve">TC-RS07</t>
  </si>
  <si>
    <t xml:space="preserve">id=1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</si>
  <si>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มีอยู่</t>
    </r>
    <r>
      <rPr>
        <sz val="16"/>
        <rFont val="TH SarabunPSK"/>
        <family val="0"/>
        <charset val="1"/>
      </rPr>
      <t xml:space="preserve">, </t>
    </r>
    <r>
      <rPr>
        <sz val="16"/>
        <rFont val="FreeSans"/>
        <family val="2"/>
      </rPr>
      <t xml:space="preserve">ไม่มีการจอง</t>
    </r>
  </si>
  <si>
    <r>
      <rPr>
        <sz val="16"/>
        <rFont val="FreeSans"/>
        <family val="2"/>
      </rPr>
      <t xml:space="preserve">เรียก </t>
    </r>
    <r>
      <rPr>
        <sz val="16"/>
        <rFont val="TH SarabunPSK"/>
        <family val="0"/>
        <charset val="1"/>
      </rPr>
      <t xml:space="preserve">delete(room)</t>
    </r>
  </si>
  <si>
    <t xml:space="preserve">TC-RS09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</si>
  <si>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มีอยู่</t>
    </r>
  </si>
  <si>
    <r>
      <rPr>
        <sz val="16"/>
        <rFont val="FreeSans"/>
        <family val="2"/>
      </rPr>
      <t xml:space="preserve">เรียก </t>
    </r>
    <r>
      <rPr>
        <sz val="16"/>
        <rFont val="TH SarabunPSK"/>
        <family val="0"/>
        <charset val="1"/>
      </rPr>
      <t xml:space="preserve">flush() </t>
    </r>
    <r>
      <rPr>
        <sz val="16"/>
        <rFont val="FreeSans"/>
        <family val="2"/>
      </rPr>
      <t xml:space="preserve">ทันทีหลัง </t>
    </r>
    <r>
      <rPr>
        <sz val="16"/>
        <rFont val="TH SarabunPSK"/>
        <family val="0"/>
        <charset val="1"/>
      </rPr>
      <t xml:space="preserve">delete</t>
    </r>
  </si>
  <si>
    <t xml:space="preserve">TC-ES09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</si>
  <si>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มีอยู่</t>
    </r>
    <r>
      <rPr>
        <sz val="16"/>
        <rFont val="TH SarabunPSK"/>
        <family val="0"/>
        <charset val="1"/>
      </rPr>
      <t xml:space="preserve">, </t>
    </r>
    <r>
      <rPr>
        <sz val="16"/>
        <rFont val="FreeSans"/>
        <family val="2"/>
      </rPr>
      <t xml:space="preserve">ไม่ถูกใช้ในการจอง</t>
    </r>
  </si>
  <si>
    <r>
      <rPr>
        <sz val="16"/>
        <rFont val="FreeSans"/>
        <family val="2"/>
      </rPr>
      <t xml:space="preserve">เรียก </t>
    </r>
    <r>
      <rPr>
        <sz val="16"/>
        <rFont val="TH SarabunPSK"/>
        <family val="0"/>
        <charset val="1"/>
      </rPr>
      <t xml:space="preserve">delete(equipment)</t>
    </r>
  </si>
  <si>
    <t xml:space="preserve">TC-ES11</t>
  </si>
  <si>
    <t xml:space="preserve">TC-RC04</t>
  </si>
  <si>
    <t xml:space="preserve">ลบได้</t>
  </si>
  <si>
    <t xml:space="preserve">204 No Content</t>
  </si>
  <si>
    <t xml:space="preserve">TC-IT02</t>
  </si>
  <si>
    <r>
      <rPr>
        <sz val="16"/>
        <rFont val="FreeSans"/>
        <family val="2"/>
      </rPr>
      <t xml:space="preserve">ห้องที่ไม่มี </t>
    </r>
    <r>
      <rPr>
        <sz val="16"/>
        <rFont val="TH SarabunPSK"/>
        <family val="0"/>
        <charset val="1"/>
      </rPr>
      <t xml:space="preserve">booking</t>
    </r>
  </si>
  <si>
    <t xml:space="preserve">ไม่มีการจอง</t>
  </si>
  <si>
    <r>
      <rPr>
        <sz val="16"/>
        <rFont val="TH SarabunPSK"/>
        <family val="0"/>
        <charset val="1"/>
      </rPr>
      <t xml:space="preserve">204 </t>
    </r>
    <r>
      <rPr>
        <sz val="16"/>
        <rFont val="FreeSans"/>
        <family val="2"/>
      </rPr>
      <t xml:space="preserve">และห้องหายจาก </t>
    </r>
    <r>
      <rPr>
        <sz val="16"/>
        <rFont val="TH SarabunPSK"/>
        <family val="0"/>
        <charset val="1"/>
      </rPr>
      <t xml:space="preserve">DB</t>
    </r>
  </si>
  <si>
    <t xml:space="preserve">TC-IT04</t>
  </si>
  <si>
    <t xml:space="preserve">อุปกรณ์ที่ไม่ถูกใช้</t>
  </si>
  <si>
    <t xml:space="preserve">ไม่ถูกใช้</t>
  </si>
  <si>
    <r>
      <rPr>
        <sz val="16"/>
        <rFont val="TH SarabunPSK"/>
        <family val="0"/>
        <charset val="1"/>
      </rPr>
      <t xml:space="preserve">204 </t>
    </r>
    <r>
      <rPr>
        <sz val="16"/>
        <rFont val="FreeSans"/>
        <family val="2"/>
      </rPr>
      <t xml:space="preserve">และอุปกรณ์หายจาก </t>
    </r>
    <r>
      <rPr>
        <sz val="16"/>
        <rFont val="TH SarabunPSK"/>
        <family val="0"/>
        <charset val="1"/>
      </rPr>
      <t xml:space="preserve">DB</t>
    </r>
  </si>
  <si>
    <t xml:space="preserve">DT1 Rule#3</t>
  </si>
  <si>
    <t xml:space="preserve">DT1 Rule#4</t>
  </si>
  <si>
    <t xml:space="preserve">TC-RS08</t>
  </si>
  <si>
    <t xml:space="preserve">id=99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</si>
  <si>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ไม่มีในระบบ</t>
    </r>
  </si>
  <si>
    <r>
      <rPr>
        <sz val="16"/>
        <rFont val="TH SarabunPSK"/>
        <family val="0"/>
        <charset val="1"/>
      </rPr>
      <t xml:space="preserve">throw ResourceNotFoundException </t>
    </r>
    <r>
      <rPr>
        <sz val="16"/>
        <rFont val="FreeSans"/>
        <family val="2"/>
      </rPr>
      <t xml:space="preserve">และไม่ </t>
    </r>
    <r>
      <rPr>
        <sz val="16"/>
        <rFont val="TH SarabunPSK"/>
        <family val="0"/>
        <charset val="1"/>
      </rPr>
      <t xml:space="preserve">delete</t>
    </r>
  </si>
  <si>
    <t xml:space="preserve">TC-ES10</t>
  </si>
  <si>
    <t xml:space="preserve">DT2 Rule#1</t>
  </si>
  <si>
    <t xml:space="preserve">TC-ES06</t>
  </si>
  <si>
    <t xml:space="preserve">updateEquipment(id, request)</t>
  </si>
  <si>
    <t xml:space="preserve">id=1, name=Microphone, totalQuantity=10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</si>
  <si>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มีอยู่</t>
    </r>
    <r>
      <rPr>
        <sz val="16"/>
        <rFont val="TH SarabunPSK"/>
        <family val="0"/>
        <charset val="1"/>
      </rPr>
      <t xml:space="preserve">, </t>
    </r>
    <r>
      <rPr>
        <sz val="16"/>
        <rFont val="FreeSans"/>
        <family val="2"/>
      </rPr>
      <t xml:space="preserve">ข้อมูลถูกต้อง</t>
    </r>
  </si>
  <si>
    <r>
      <rPr>
        <sz val="16"/>
        <rFont val="FreeSans"/>
        <family val="2"/>
      </rPr>
      <t xml:space="preserve">ข้อมูลเปลี่ยนเป็น </t>
    </r>
    <r>
      <rPr>
        <sz val="16"/>
        <rFont val="TH SarabunPSK"/>
        <family val="0"/>
        <charset val="1"/>
      </rPr>
      <t xml:space="preserve">Microphone, 10</t>
    </r>
  </si>
  <si>
    <t xml:space="preserve">DT2 Rule#2</t>
  </si>
  <si>
    <t xml:space="preserve">TC-ES08</t>
  </si>
  <si>
    <t xml:space="preserve">id=1, totalQuantity=-5</t>
  </si>
  <si>
    <t xml:space="preserve">จำนวนติดลบ</t>
  </si>
  <si>
    <r>
      <rPr>
        <sz val="16"/>
        <rFont val="TH SarabunPSK"/>
        <family val="0"/>
        <charset val="1"/>
      </rPr>
      <t xml:space="preserve">throw IllegalArgumentException </t>
    </r>
    <r>
      <rPr>
        <sz val="16"/>
        <rFont val="FreeSans"/>
        <family val="2"/>
      </rPr>
      <t xml:space="preserve">และไม่ </t>
    </r>
    <r>
      <rPr>
        <sz val="16"/>
        <rFont val="TH SarabunPSK"/>
        <family val="0"/>
        <charset val="1"/>
      </rPr>
      <t xml:space="preserve">save</t>
    </r>
  </si>
  <si>
    <t xml:space="preserve">DT2 Rule#3</t>
  </si>
  <si>
    <t xml:space="preserve">TC-ES07</t>
  </si>
  <si>
    <t xml:space="preserve">throw ResourceNotFoundException</t>
  </si>
  <si>
    <t xml:space="preserve">DT3 Rule#1</t>
  </si>
  <si>
    <t xml:space="preserve">TC-ST01</t>
  </si>
  <si>
    <t xml:space="preserve">requiresApproval()</t>
  </si>
  <si>
    <t xml:space="preserve">VipRoomRuleStrategy</t>
  </si>
  <si>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VIP</t>
    </r>
  </si>
  <si>
    <r>
      <rPr>
        <sz val="16"/>
        <rFont val="FreeSans"/>
        <family val="2"/>
      </rPr>
      <t xml:space="preserve">คืนค่า </t>
    </r>
    <r>
      <rPr>
        <sz val="16"/>
        <rFont val="TH SarabunPSK"/>
        <family val="0"/>
        <charset val="1"/>
      </rPr>
      <t xml:space="preserve">true</t>
    </r>
  </si>
  <si>
    <t xml:space="preserve">TC-ST03</t>
  </si>
  <si>
    <t xml:space="preserve">factory.getStrategy(type)</t>
  </si>
  <si>
    <t xml:space="preserve">RoomType.VIP</t>
  </si>
  <si>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strategy </t>
    </r>
    <r>
      <rPr>
        <sz val="16"/>
        <rFont val="FreeSans"/>
        <family val="2"/>
      </rPr>
      <t xml:space="preserve">ของ </t>
    </r>
    <r>
      <rPr>
        <sz val="16"/>
        <rFont val="TH SarabunPSK"/>
        <family val="0"/>
        <charset val="1"/>
      </rPr>
      <t xml:space="preserve">VIP</t>
    </r>
  </si>
  <si>
    <r>
      <rPr>
        <sz val="16"/>
        <rFont val="FreeSans"/>
        <family val="2"/>
      </rPr>
      <t xml:space="preserve">คืน </t>
    </r>
    <r>
      <rPr>
        <sz val="16"/>
        <rFont val="TH SarabunPSK"/>
        <family val="0"/>
        <charset val="1"/>
      </rPr>
      <t xml:space="preserve">VipRoomRuleStrategy</t>
    </r>
  </si>
  <si>
    <t xml:space="preserve">TC-BK02</t>
  </si>
  <si>
    <t xml:space="preserve">createBooking(request, userId)</t>
  </si>
  <si>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VIP, 1/12/2026 09:00-11:00, userId=1</t>
    </r>
  </si>
  <si>
    <r>
      <rPr>
        <sz val="16"/>
        <rFont val="TH SarabunPSK"/>
        <family val="0"/>
        <charset val="1"/>
      </rPr>
      <t xml:space="preserve">status = PENDING </t>
    </r>
    <r>
      <rPr>
        <sz val="16"/>
        <rFont val="FreeSans"/>
        <family val="2"/>
      </rPr>
      <t xml:space="preserve">และถูก </t>
    </r>
    <r>
      <rPr>
        <sz val="16"/>
        <rFont val="TH SarabunPSK"/>
        <family val="0"/>
        <charset val="1"/>
      </rPr>
      <t xml:space="preserve">save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PENDING</t>
    </r>
  </si>
  <si>
    <t xml:space="preserve">DT3 Rule#2</t>
  </si>
  <si>
    <t xml:space="preserve">TC-ST02</t>
  </si>
  <si>
    <t xml:space="preserve">StandardRoomRuleStrategy</t>
  </si>
  <si>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STANDARD</t>
    </r>
  </si>
  <si>
    <r>
      <rPr>
        <sz val="16"/>
        <rFont val="FreeSans"/>
        <family val="2"/>
      </rPr>
      <t xml:space="preserve">คืนค่า </t>
    </r>
    <r>
      <rPr>
        <sz val="16"/>
        <rFont val="TH SarabunPSK"/>
        <family val="0"/>
        <charset val="1"/>
      </rPr>
      <t xml:space="preserve">false</t>
    </r>
  </si>
  <si>
    <t xml:space="preserve">TC-ST04</t>
  </si>
  <si>
    <t xml:space="preserve">RoomType.STANDARD</t>
  </si>
  <si>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strategy </t>
    </r>
    <r>
      <rPr>
        <sz val="16"/>
        <rFont val="FreeSans"/>
        <family val="2"/>
      </rPr>
      <t xml:space="preserve">ของ </t>
    </r>
    <r>
      <rPr>
        <sz val="16"/>
        <rFont val="TH SarabunPSK"/>
        <family val="0"/>
        <charset val="1"/>
      </rPr>
      <t xml:space="preserve">STANDARD</t>
    </r>
  </si>
  <si>
    <r>
      <rPr>
        <sz val="16"/>
        <rFont val="FreeSans"/>
        <family val="2"/>
      </rPr>
      <t xml:space="preserve">คืน </t>
    </r>
    <r>
      <rPr>
        <sz val="16"/>
        <rFont val="TH SarabunPSK"/>
        <family val="0"/>
        <charset val="1"/>
      </rPr>
      <t xml:space="preserve">StandardRoomRuleStrategy</t>
    </r>
  </si>
  <si>
    <t xml:space="preserve">TC-BK01</t>
  </si>
  <si>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STANDARD, 1/12/2026 09:00-11:00, userId=1</t>
    </r>
  </si>
  <si>
    <r>
      <rPr>
        <sz val="16"/>
        <rFont val="TH SarabunPSK"/>
        <family val="0"/>
        <charset val="1"/>
      </rPr>
      <t xml:space="preserve">status = APPROVED </t>
    </r>
    <r>
      <rPr>
        <sz val="16"/>
        <rFont val="FreeSans"/>
        <family val="2"/>
      </rPr>
      <t xml:space="preserve">และถูก </t>
    </r>
    <r>
      <rPr>
        <sz val="16"/>
        <rFont val="TH SarabunPSK"/>
        <family val="0"/>
        <charset val="1"/>
      </rPr>
      <t xml:space="preserve">save </t>
    </r>
    <r>
      <rPr>
        <sz val="16"/>
        <rFont val="FreeSans"/>
        <family val="2"/>
      </rPr>
      <t xml:space="preserve">เป็น </t>
    </r>
    <r>
      <rPr>
        <sz val="16"/>
        <rFont val="TH SarabunPSK"/>
        <family val="0"/>
        <charset val="1"/>
      </rPr>
      <t xml:space="preserve">APPROVED</t>
    </r>
  </si>
  <si>
    <t xml:space="preserve">DT3 Rule#3</t>
  </si>
  <si>
    <t xml:space="preserve">DT3 Rule#4</t>
  </si>
  <si>
    <t xml:space="preserve">TC-ST05</t>
  </si>
  <si>
    <r>
      <rPr>
        <sz val="16"/>
        <rFont val="TH SarabunPSK"/>
        <family val="0"/>
        <charset val="1"/>
      </rPr>
      <t xml:space="preserve">Factory </t>
    </r>
    <r>
      <rPr>
        <sz val="16"/>
        <rFont val="FreeSans"/>
        <family val="2"/>
      </rPr>
      <t xml:space="preserve">มีแค่ </t>
    </r>
    <r>
      <rPr>
        <sz val="16"/>
        <rFont val="TH SarabunPSK"/>
        <family val="0"/>
        <charset val="1"/>
      </rPr>
      <t xml:space="preserve">VIP, </t>
    </r>
    <r>
      <rPr>
        <sz val="16"/>
        <rFont val="FreeSans"/>
        <family val="2"/>
      </rPr>
      <t xml:space="preserve">ขอ </t>
    </r>
    <r>
      <rPr>
        <sz val="16"/>
        <rFont val="TH SarabunPSK"/>
        <family val="0"/>
        <charset val="1"/>
      </rPr>
      <t xml:space="preserve">RoomType.STANDARD</t>
    </r>
  </si>
  <si>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strategy </t>
    </r>
    <r>
      <rPr>
        <sz val="16"/>
        <rFont val="FreeSans"/>
        <family val="2"/>
      </rPr>
      <t xml:space="preserve">ของประเภทนั้น</t>
    </r>
  </si>
  <si>
    <t xml:space="preserve">throw IllegalArgumentException</t>
  </si>
  <si>
    <t xml:space="preserve">DT4 Rule#1</t>
  </si>
  <si>
    <t xml:space="preserve">TC-RC01</t>
  </si>
  <si>
    <t xml:space="preserve">POST /api/v1/rooms</t>
  </si>
  <si>
    <t xml:space="preserve">{name:Room A, capacity:10, floor:2, STANDARD, AVAILABLE}</t>
  </si>
  <si>
    <r>
      <rPr>
        <sz val="16"/>
        <rFont val="TH SarabunPSK"/>
        <family val="0"/>
        <charset val="1"/>
      </rPr>
      <t xml:space="preserve">body </t>
    </r>
    <r>
      <rPr>
        <sz val="16"/>
        <rFont val="FreeSans"/>
        <family val="2"/>
      </rPr>
      <t xml:space="preserve">ถูกต้อง</t>
    </r>
  </si>
  <si>
    <t xml:space="preserve">201 Created, id=1</t>
  </si>
  <si>
    <t xml:space="preserve">TC-EC01</t>
  </si>
  <si>
    <t xml:space="preserve">POST /api/v1/equipments</t>
  </si>
  <si>
    <t xml:space="preserve">{name:Projector, totalQuantity:5, category:Display}</t>
  </si>
  <si>
    <t xml:space="preserve">TC-IT06</t>
  </si>
  <si>
    <t xml:space="preserve">{name: IT Created Room, capacity: 12, VIP}</t>
  </si>
  <si>
    <r>
      <rPr>
        <sz val="16"/>
        <rFont val="TH SarabunPSK"/>
        <family val="0"/>
        <charset val="1"/>
      </rPr>
      <t xml:space="preserve">201 </t>
    </r>
    <r>
      <rPr>
        <sz val="16"/>
        <rFont val="FreeSans"/>
        <family val="2"/>
      </rPr>
      <t xml:space="preserve">และบันทึกลง </t>
    </r>
    <r>
      <rPr>
        <sz val="16"/>
        <rFont val="TH SarabunPSK"/>
        <family val="0"/>
        <charset val="1"/>
      </rPr>
      <t xml:space="preserve">DB </t>
    </r>
    <r>
      <rPr>
        <sz val="16"/>
        <rFont val="FreeSans"/>
        <family val="2"/>
      </rPr>
      <t xml:space="preserve">จริง</t>
    </r>
  </si>
  <si>
    <t xml:space="preserve">DT4 Rule#2</t>
  </si>
  <si>
    <t xml:space="preserve">TC-RC02</t>
  </si>
  <si>
    <t xml:space="preserve">{name:"", capacity:0}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</si>
  <si>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ว่าง</t>
    </r>
    <r>
      <rPr>
        <sz val="16"/>
        <rFont val="TH SarabunPSK"/>
        <family val="0"/>
        <charset val="1"/>
      </rPr>
      <t xml:space="preserve">, capacity = 0, </t>
    </r>
    <r>
      <rPr>
        <sz val="16"/>
        <rFont val="FreeSans"/>
        <family val="2"/>
      </rPr>
      <t xml:space="preserve">ไม่มี </t>
    </r>
    <r>
      <rPr>
        <sz val="16"/>
        <rFont val="TH SarabunPSK"/>
        <family val="0"/>
        <charset val="1"/>
      </rPr>
      <t xml:space="preserve">roomType/status</t>
    </r>
  </si>
  <si>
    <r>
      <rPr>
        <sz val="16"/>
        <rFont val="TH SarabunPSK"/>
        <family val="0"/>
        <charset val="1"/>
      </rPr>
      <t xml:space="preserve">400 Bad Request </t>
    </r>
    <r>
      <rPr>
        <sz val="16"/>
        <rFont val="FreeSans"/>
        <family val="2"/>
      </rPr>
      <t xml:space="preserve">และไม่เรียก </t>
    </r>
    <r>
      <rPr>
        <sz val="16"/>
        <rFont val="TH SarabunPSK"/>
        <family val="0"/>
        <charset val="1"/>
      </rPr>
      <t xml:space="preserve">service</t>
    </r>
  </si>
  <si>
    <t xml:space="preserve">TC-RC06</t>
  </si>
  <si>
    <r>
      <rPr>
        <sz val="16"/>
        <rFont val="TH SarabunPSK"/>
        <family val="0"/>
        <charset val="1"/>
      </rPr>
      <t xml:space="preserve">{capacity: 2147483648} (</t>
    </r>
    <r>
      <rPr>
        <sz val="16"/>
        <rFont val="FreeSans"/>
        <family val="2"/>
      </rPr>
      <t xml:space="preserve">เกิน </t>
    </r>
    <r>
      <rPr>
        <sz val="16"/>
        <rFont val="TH SarabunPSK"/>
        <family val="0"/>
        <charset val="1"/>
      </rPr>
      <t xml:space="preserve">Integer)</t>
    </r>
  </si>
  <si>
    <t xml:space="preserve">capacity max+ (robustness)</t>
  </si>
  <si>
    <t xml:space="preserve">TC-EC02</t>
  </si>
  <si>
    <t xml:space="preserve">{name:Projector, totalQuantity:-1}</t>
  </si>
  <si>
    <t xml:space="preserve">TC-EC03</t>
  </si>
  <si>
    <t xml:space="preserve">PUT /api/v1/equipments/1</t>
  </si>
  <si>
    <t xml:space="preserve">{name:"  ", totalQuantity:3}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</si>
  <si>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เป็นช่องว่าง</t>
    </r>
  </si>
  <si>
    <t xml:space="preserve">Room / Booking rule</t>
  </si>
  <si>
    <t xml:space="preserve">Functional testing - Decision Table (Extended Entry)</t>
  </si>
  <si>
    <t xml:space="preserve">DT5 Rule#1</t>
  </si>
  <si>
    <t xml:space="preserve">DT5 Rule#2</t>
  </si>
  <si>
    <t xml:space="preserve">DT5 Rule#3</t>
  </si>
  <si>
    <t xml:space="preserve">DT6 Rule#1</t>
  </si>
  <si>
    <t xml:space="preserve">validator.validate(room)</t>
  </si>
  <si>
    <r>
      <rPr>
        <sz val="16"/>
        <rFont val="FreeSans"/>
        <family val="2"/>
      </rPr>
      <t xml:space="preserve">ทุก </t>
    </r>
    <r>
      <rPr>
        <sz val="16"/>
        <rFont val="TH SarabunPSK"/>
        <family val="0"/>
        <charset val="1"/>
      </rPr>
      <t xml:space="preserve">field </t>
    </r>
    <r>
      <rPr>
        <sz val="16"/>
        <rFont val="FreeSans"/>
        <family val="2"/>
      </rPr>
      <t xml:space="preserve">ถูกต้อง</t>
    </r>
  </si>
  <si>
    <t xml:space="preserve">EC1, EC4, EC7, EC9, EC11</t>
  </si>
  <si>
    <t xml:space="preserve">validator.validate(request)</t>
  </si>
  <si>
    <t xml:space="preserve">name length=50 (nom), capacity=10 (nom)</t>
  </si>
  <si>
    <t xml:space="preserve">nom × nom</t>
  </si>
  <si>
    <t xml:space="preserve">DT6 Rule#2</t>
  </si>
  <si>
    <r>
      <rPr>
        <sz val="16"/>
        <rFont val="TH SarabunPSK"/>
        <family val="0"/>
        <charset val="1"/>
      </rPr>
      <t xml:space="preserve">name = ""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</si>
  <si>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r>
      <rPr>
        <sz val="16"/>
        <rFont val="TH SarabunPSK"/>
        <family val="0"/>
        <charset val="1"/>
      </rPr>
      <t xml:space="preserve">name = "   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</si>
  <si>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r>
      <rPr>
        <sz val="16"/>
        <rFont val="TH SarabunPSK"/>
        <family val="0"/>
        <charset val="1"/>
      </rPr>
      <t xml:space="preserve">name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</si>
  <si>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name length=0 (min-), capacity=10 (nom)</t>
  </si>
  <si>
    <t xml:space="preserve">min- × nom</t>
  </si>
  <si>
    <r>
      <rPr>
        <sz val="16"/>
        <rFont val="FreeSans"/>
        <family val="2"/>
      </rPr>
      <t xml:space="preserve">ไม่ผ่าน </t>
    </r>
    <r>
      <rPr>
        <sz val="16"/>
        <rFont val="TH SarabunPSK"/>
        <family val="0"/>
        <charset val="1"/>
      </rPr>
      <t xml:space="preserve">validation (name)</t>
    </r>
  </si>
  <si>
    <t xml:space="preserve">DT6 Rule#3</t>
  </si>
  <si>
    <r>
      <rPr>
        <sz val="16"/>
        <rFont val="TH SarabunPSK"/>
        <family val="0"/>
        <charset val="1"/>
      </rPr>
      <t xml:space="preserve">name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101 </t>
    </r>
    <r>
      <rPr>
        <sz val="16"/>
        <rFont val="FreeSans"/>
        <family val="2"/>
      </rPr>
      <t xml:space="preserve">ตัว </t>
    </r>
    <r>
      <rPr>
        <sz val="16"/>
        <rFont val="TH SarabunPSK"/>
        <family val="0"/>
        <charset val="1"/>
      </rPr>
      <t xml:space="preserve">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</si>
  <si>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name length=101 (max+), capacity=10 (nom)</t>
  </si>
  <si>
    <t xml:space="preserve">max+ × nom</t>
  </si>
  <si>
    <t xml:space="preserve">DT6 Rule#4</t>
  </si>
  <si>
    <r>
      <rPr>
        <sz val="16"/>
        <rFont val="TH SarabunPSK"/>
        <family val="0"/>
        <charset val="1"/>
      </rPr>
      <t xml:space="preserve">capacity = 0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</si>
  <si>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r>
      <rPr>
        <sz val="16"/>
        <rFont val="TH SarabunPSK"/>
        <family val="0"/>
        <charset val="1"/>
      </rPr>
      <t xml:space="preserve">capacity = -1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</si>
  <si>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name length=50 (nom), capacity=0 (min-)</t>
  </si>
  <si>
    <t xml:space="preserve">nom × min-</t>
  </si>
  <si>
    <r>
      <rPr>
        <sz val="16"/>
        <rFont val="FreeSans"/>
        <family val="2"/>
      </rPr>
      <t xml:space="preserve">ไม่ผ่าน </t>
    </r>
    <r>
      <rPr>
        <sz val="16"/>
        <rFont val="TH SarabunPSK"/>
        <family val="0"/>
        <charset val="1"/>
      </rPr>
      <t xml:space="preserve">validation (capacity)</t>
    </r>
  </si>
  <si>
    <t xml:space="preserve">DT6 Rule#5</t>
  </si>
  <si>
    <r>
      <rPr>
        <sz val="16"/>
        <rFont val="TH SarabunPSK"/>
        <family val="0"/>
        <charset val="1"/>
      </rPr>
      <t xml:space="preserve">capacity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</si>
  <si>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Test Scenario ID:</t>
  </si>
  <si>
    <t xml:space="preserve">UAT-CWS-Rental-P2-TS001</t>
  </si>
  <si>
    <t xml:space="preserve">Project ID:</t>
  </si>
  <si>
    <t xml:space="preserve">CWS-Rental-P2</t>
  </si>
  <si>
    <t xml:space="preserve">Test Scenario Name:</t>
  </si>
  <si>
    <t xml:space="preserve">Project version:</t>
  </si>
  <si>
    <t xml:space="preserve">V1.0</t>
  </si>
  <si>
    <t xml:space="preserve">Designer:</t>
  </si>
  <si>
    <r>
      <rPr>
        <sz val="18"/>
        <rFont val="FreeSans"/>
        <family val="2"/>
      </rPr>
      <t xml:space="preserve">กฤติธี ศรีใสย์ </t>
    </r>
    <r>
      <rPr>
        <sz val="18"/>
        <rFont val="TH SarabunPSK"/>
        <family val="0"/>
        <charset val="1"/>
      </rPr>
      <t xml:space="preserve">673380572-9</t>
    </r>
  </si>
  <si>
    <t xml:space="preserve">Test Version:</t>
  </si>
  <si>
    <t xml:space="preserve">Module:</t>
  </si>
  <si>
    <t xml:space="preserve">RoomServiceImpl.java</t>
  </si>
  <si>
    <t xml:space="preserve">Pre-requisite:</t>
  </si>
  <si>
    <r>
      <rPr>
        <sz val="18"/>
        <rFont val="TH SarabunPSK"/>
        <family val="0"/>
        <charset val="1"/>
      </rPr>
      <t xml:space="preserve">mock MeetingRoomRepository </t>
    </r>
    <r>
      <rPr>
        <sz val="18"/>
        <rFont val="FreeSans"/>
        <family val="2"/>
      </rPr>
      <t xml:space="preserve">ด้วย </t>
    </r>
    <r>
      <rPr>
        <sz val="18"/>
        <rFont val="TH SarabunPSK"/>
        <family val="0"/>
        <charset val="1"/>
      </rPr>
      <t xml:space="preserve">Mockito</t>
    </r>
  </si>
  <si>
    <t xml:space="preserve">Description: </t>
  </si>
  <si>
    <r>
      <rPr>
        <sz val="18"/>
        <rFont val="FreeSans"/>
        <family val="2"/>
      </rPr>
      <t xml:space="preserve">ทดสอบการสร้าง ดู แก้ไข และลบห้องประชุมใน </t>
    </r>
    <r>
      <rPr>
        <sz val="18"/>
        <rFont val="TH SarabunPSK"/>
        <family val="0"/>
        <charset val="1"/>
      </rPr>
      <t xml:space="preserve">service </t>
    </r>
    <r>
      <rPr>
        <sz val="18"/>
        <rFont val="FreeSans"/>
        <family val="2"/>
      </rPr>
      <t xml:space="preserve">ถ้าหา </t>
    </r>
    <r>
      <rPr>
        <sz val="18"/>
        <rFont val="TH SarabunPSK"/>
        <family val="0"/>
        <charset val="1"/>
      </rPr>
      <t xml:space="preserve">id </t>
    </r>
    <r>
      <rPr>
        <sz val="18"/>
        <rFont val="FreeSans"/>
        <family val="2"/>
      </rPr>
      <t xml:space="preserve">ไม่เจอต้อง </t>
    </r>
    <r>
      <rPr>
        <sz val="18"/>
        <rFont val="TH SarabunPSK"/>
        <family val="0"/>
        <charset val="1"/>
      </rPr>
      <t xml:space="preserve">throw ResourceNotFoundException (404) </t>
    </r>
    <r>
      <rPr>
        <sz val="18"/>
        <rFont val="FreeSans"/>
        <family val="2"/>
      </rPr>
      <t xml:space="preserve">ถ้าลบห้องที่ยังมีการจองผูกอยู่ต้อง </t>
    </r>
    <r>
      <rPr>
        <sz val="18"/>
        <rFont val="TH SarabunPSK"/>
        <family val="0"/>
        <charset val="1"/>
      </rPr>
      <t xml:space="preserve">throw ConflictException (409)</t>
    </r>
  </si>
  <si>
    <t xml:space="preserve">Main flow</t>
  </si>
  <si>
    <t xml:space="preserve">Step No.</t>
  </si>
  <si>
    <t xml:space="preserve">Description</t>
  </si>
  <si>
    <t xml:space="preserve">Expected Results</t>
  </si>
  <si>
    <t xml:space="preserve">Actual Results</t>
  </si>
  <si>
    <t xml:space="preserve">Status 
(Pass/Fail/No run)</t>
  </si>
  <si>
    <t xml:space="preserve">Remark/Defect ID</t>
  </si>
  <si>
    <t xml:space="preserve">TC-RS01: createRoom_savesAndReturnsResponse</t>
  </si>
  <si>
    <t xml:space="preserve">createRoom(request)
name=Room A, capacity=10, floor=2, VIP, AVAILABLE</t>
  </si>
  <si>
    <t xml:space="preserve">ข้อมูลถูกต้อง</t>
  </si>
  <si>
    <r>
      <rPr>
        <sz val="16"/>
        <rFont val="FreeSans"/>
        <family val="2"/>
      </rPr>
      <t xml:space="preserve">บันทึกสำเร็จ คืน </t>
    </r>
    <r>
      <rPr>
        <sz val="16"/>
        <rFont val="TH SarabunPSK"/>
        <family val="0"/>
        <charset val="1"/>
      </rPr>
      <t xml:space="preserve">id=1, name=Room A, roomType=VIP</t>
    </r>
  </si>
  <si>
    <t xml:space="preserve">TC-RS01</t>
  </si>
  <si>
    <t xml:space="preserve">TC-RS02: getRoomById_found_returnsResponse</t>
  </si>
  <si>
    <t xml:space="preserve">getRoomById(id)
id=1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</si>
  <si>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มีอยู่ในระบบ</t>
    </r>
  </si>
  <si>
    <r>
      <rPr>
        <sz val="16"/>
        <rFont val="FreeSans"/>
        <family val="2"/>
      </rPr>
      <t xml:space="preserve">คืนข้อมูลห้อง </t>
    </r>
    <r>
      <rPr>
        <sz val="16"/>
        <rFont val="TH SarabunPSK"/>
        <family val="0"/>
        <charset val="1"/>
      </rPr>
      <t xml:space="preserve">id=1</t>
    </r>
  </si>
  <si>
    <t xml:space="preserve">TC-RS02</t>
  </si>
  <si>
    <t xml:space="preserve">TC-RS03: getRoomById_notFound_throwsResourceNotFound</t>
  </si>
  <si>
    <t xml:space="preserve">getRoomById(id)
id=99</t>
  </si>
  <si>
    <t xml:space="preserve">TC-RS03</t>
  </si>
  <si>
    <t xml:space="preserve">TC-RS04: getAllRooms_returnsPageOfResponses</t>
  </si>
  <si>
    <r>
      <rPr>
        <sz val="16"/>
        <rFont val="TH SarabunPSK"/>
        <family val="0"/>
        <charset val="1"/>
      </rPr>
      <t xml:space="preserve">getAllRooms(pageable)
page=0, size=10 (</t>
    </r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2 </t>
    </r>
    <r>
      <rPr>
        <sz val="16"/>
        <rFont val="FreeSans"/>
        <family val="2"/>
      </rPr>
      <t xml:space="preserve">ห้อง</t>
    </r>
    <r>
      <rPr>
        <sz val="16"/>
        <rFont val="TH SarabunPSK"/>
        <family val="0"/>
        <charset val="1"/>
      </rPr>
      <t xml:space="preserve">)</t>
    </r>
  </si>
  <si>
    <r>
      <rPr>
        <sz val="16"/>
        <rFont val="FreeSans"/>
        <family val="2"/>
      </rPr>
      <t xml:space="preserve">มีข้อมูล </t>
    </r>
    <r>
      <rPr>
        <sz val="16"/>
        <rFont val="TH SarabunPSK"/>
        <family val="0"/>
        <charset val="1"/>
      </rPr>
      <t xml:space="preserve">2 </t>
    </r>
    <r>
      <rPr>
        <sz val="16"/>
        <rFont val="FreeSans"/>
        <family val="2"/>
      </rPr>
      <t xml:space="preserve">รายการ</t>
    </r>
  </si>
  <si>
    <r>
      <rPr>
        <sz val="16"/>
        <rFont val="FreeSans"/>
        <family val="2"/>
      </rPr>
      <t xml:space="preserve">คืน </t>
    </r>
    <r>
      <rPr>
        <sz val="16"/>
        <rFont val="TH SarabunPSK"/>
        <family val="0"/>
        <charset val="1"/>
      </rPr>
      <t xml:space="preserve">Page totalElements=2</t>
    </r>
  </si>
  <si>
    <t xml:space="preserve">TC-RS04</t>
  </si>
  <si>
    <t xml:space="preserve">TC-RS05: updateRoom_updatesFieldsAndSaves</t>
  </si>
  <si>
    <t xml:space="preserve">updateRoom(id, request)
id=1, name=Room B, capacity=20, MAINTENANCE</t>
  </si>
  <si>
    <r>
      <rPr>
        <sz val="16"/>
        <rFont val="FreeSans"/>
        <family val="2"/>
      </rPr>
      <t xml:space="preserve">ข้อมูลเปลี่ยนเป็น </t>
    </r>
    <r>
      <rPr>
        <sz val="16"/>
        <rFont val="TH SarabunPSK"/>
        <family val="0"/>
        <charset val="1"/>
      </rPr>
      <t xml:space="preserve">Room B, 20, MAINTENANCE</t>
    </r>
  </si>
  <si>
    <t xml:space="preserve">TC-RS05</t>
  </si>
  <si>
    <t xml:space="preserve">TC-RS06: updateRoom_notFound_throwsResourceNotFound</t>
  </si>
  <si>
    <t xml:space="preserve">updateRoom(id, request)
id=99</t>
  </si>
  <si>
    <r>
      <rPr>
        <sz val="16"/>
        <rFont val="TH SarabunPSK"/>
        <family val="0"/>
        <charset val="1"/>
      </rPr>
      <t xml:space="preserve">throw ResourceNotFoundException </t>
    </r>
    <r>
      <rPr>
        <sz val="16"/>
        <rFont val="FreeSans"/>
        <family val="2"/>
      </rPr>
      <t xml:space="preserve">และไม่ </t>
    </r>
    <r>
      <rPr>
        <sz val="16"/>
        <rFont val="TH SarabunPSK"/>
        <family val="0"/>
        <charset val="1"/>
      </rPr>
      <t xml:space="preserve">save</t>
    </r>
  </si>
  <si>
    <t xml:space="preserve">TC-RS06</t>
  </si>
  <si>
    <t xml:space="preserve">TC-RS07: deleteRoom_found_callsDelete</t>
  </si>
  <si>
    <t xml:space="preserve">deleteRoom(id)
id=1</t>
  </si>
  <si>
    <t xml:space="preserve">TC-RS08: deleteRoom_notFound_throwsAndDoesNotDelete</t>
  </si>
  <si>
    <t xml:space="preserve">deleteRoom(id)
id=99</t>
  </si>
  <si>
    <t xml:space="preserve">TC-RS09: deleteRoom_found_flushesSoForeignKeyErrorIsRaisedHere</t>
  </si>
  <si>
    <t xml:space="preserve">TC-RS10: deleteRoom_hasBookings_throwsConflict</t>
  </si>
  <si>
    <r>
      <rPr>
        <sz val="16"/>
        <rFont val="TH SarabunPSK"/>
        <family val="0"/>
        <charset val="1"/>
      </rPr>
      <t xml:space="preserve">deleteRoom(id)
id=1, flush()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DataIntegrityViolationException</t>
    </r>
  </si>
  <si>
    <t xml:space="preserve">Alternate flows:</t>
  </si>
  <si>
    <r>
      <rPr>
        <sz val="18"/>
        <rFont val="FreeSans"/>
        <family val="2"/>
      </rPr>
      <t xml:space="preserve">ถ้า </t>
    </r>
    <r>
      <rPr>
        <sz val="18"/>
        <rFont val="TH SarabunPSK"/>
        <family val="0"/>
        <charset val="1"/>
      </rPr>
      <t xml:space="preserve">repository </t>
    </r>
    <r>
      <rPr>
        <sz val="18"/>
        <rFont val="FreeSans"/>
        <family val="2"/>
      </rPr>
      <t xml:space="preserve">โยน </t>
    </r>
    <r>
      <rPr>
        <sz val="18"/>
        <rFont val="TH SarabunPSK"/>
        <family val="0"/>
        <charset val="1"/>
      </rPr>
      <t xml:space="preserve">DataIntegrityViolationException </t>
    </r>
    <r>
      <rPr>
        <sz val="18"/>
        <rFont val="FreeSans"/>
        <family val="2"/>
      </rPr>
      <t xml:space="preserve">ตอน </t>
    </r>
    <r>
      <rPr>
        <sz val="18"/>
        <rFont val="TH SarabunPSK"/>
        <family val="0"/>
        <charset val="1"/>
      </rPr>
      <t xml:space="preserve">flush() </t>
    </r>
    <r>
      <rPr>
        <sz val="18"/>
        <rFont val="FreeSans"/>
        <family val="2"/>
      </rPr>
      <t xml:space="preserve">ระบบต้องแปลงเป็น </t>
    </r>
    <r>
      <rPr>
        <sz val="18"/>
        <rFont val="TH SarabunPSK"/>
        <family val="0"/>
        <charset val="1"/>
      </rPr>
      <t xml:space="preserve">ConflictException </t>
    </r>
    <r>
      <rPr>
        <sz val="18"/>
        <rFont val="FreeSans"/>
        <family val="2"/>
      </rPr>
      <t xml:space="preserve">ไม่ปล่อยให้เป็น </t>
    </r>
    <r>
      <rPr>
        <sz val="18"/>
        <rFont val="TH SarabunPSK"/>
        <family val="0"/>
        <charset val="1"/>
      </rPr>
      <t xml:space="preserve">500</t>
    </r>
  </si>
  <si>
    <t xml:space="preserve">Related Defect:</t>
  </si>
  <si>
    <t xml:space="preserve">UAT-CWS-Rental-P2-TS002</t>
  </si>
  <si>
    <t xml:space="preserve">EquipmentServiceImpl.java</t>
  </si>
  <si>
    <r>
      <rPr>
        <sz val="18"/>
        <rFont val="TH SarabunPSK"/>
        <family val="0"/>
        <charset val="1"/>
      </rPr>
      <t xml:space="preserve">mock EquipmentRepository </t>
    </r>
    <r>
      <rPr>
        <sz val="18"/>
        <rFont val="FreeSans"/>
        <family val="2"/>
      </rPr>
      <t xml:space="preserve">ด้วย </t>
    </r>
    <r>
      <rPr>
        <sz val="18"/>
        <rFont val="TH SarabunPSK"/>
        <family val="0"/>
        <charset val="1"/>
      </rPr>
      <t xml:space="preserve">Mockito</t>
    </r>
  </si>
  <si>
    <r>
      <rPr>
        <sz val="18"/>
        <rFont val="FreeSans"/>
        <family val="2"/>
      </rPr>
      <t xml:space="preserve">ทดสอบการสร้าง ดู แก้ไข และลบอุปกรณ์ใน </t>
    </r>
    <r>
      <rPr>
        <sz val="18"/>
        <rFont val="TH SarabunPSK"/>
        <family val="0"/>
        <charset val="1"/>
      </rPr>
      <t xml:space="preserve">service </t>
    </r>
    <r>
      <rPr>
        <sz val="18"/>
        <rFont val="FreeSans"/>
        <family val="2"/>
      </rPr>
      <t xml:space="preserve">จำนวนอุปกรณ์ห้ามติดลบ หา </t>
    </r>
    <r>
      <rPr>
        <sz val="18"/>
        <rFont val="TH SarabunPSK"/>
        <family val="0"/>
        <charset val="1"/>
      </rPr>
      <t xml:space="preserve">id </t>
    </r>
    <r>
      <rPr>
        <sz val="18"/>
        <rFont val="FreeSans"/>
        <family val="2"/>
      </rPr>
      <t xml:space="preserve">ไม่เจอต้องได้ </t>
    </r>
    <r>
      <rPr>
        <sz val="18"/>
        <rFont val="TH SarabunPSK"/>
        <family val="0"/>
        <charset val="1"/>
      </rPr>
      <t xml:space="preserve">ResourceNotFoundException (404) </t>
    </r>
    <r>
      <rPr>
        <sz val="18"/>
        <rFont val="FreeSans"/>
        <family val="2"/>
      </rPr>
      <t xml:space="preserve">ลบอุปกรณ์ที่ถูกใช้ในการจองต้องได้ </t>
    </r>
    <r>
      <rPr>
        <sz val="18"/>
        <rFont val="TH SarabunPSK"/>
        <family val="0"/>
        <charset val="1"/>
      </rPr>
      <t xml:space="preserve">ConflictException (409)</t>
    </r>
  </si>
  <si>
    <t xml:space="preserve">TC-ES01: createEquipment_savesAndReturnsResponse</t>
  </si>
  <si>
    <t xml:space="preserve">createEquipment(request)
name=Projector, totalQuantity=5, category=Display</t>
  </si>
  <si>
    <r>
      <rPr>
        <sz val="16"/>
        <rFont val="FreeSans"/>
        <family val="2"/>
      </rPr>
      <t xml:space="preserve">บันทึกสำเร็จ คืน </t>
    </r>
    <r>
      <rPr>
        <sz val="16"/>
        <rFont val="TH SarabunPSK"/>
        <family val="0"/>
        <charset val="1"/>
      </rPr>
      <t xml:space="preserve">id=1, totalQuantity=5</t>
    </r>
  </si>
  <si>
    <t xml:space="preserve">TC-ES01</t>
  </si>
  <si>
    <t xml:space="preserve">TC-ES02: createEquipment_negativeQuantity_throwsIllegalArgument</t>
  </si>
  <si>
    <t xml:space="preserve">createEquipment(request)
totalQuantity=-1</t>
  </si>
  <si>
    <t xml:space="preserve">TC-ES02</t>
  </si>
  <si>
    <t xml:space="preserve">TC-ES03: getEquipmentById_found_returnsResponse</t>
  </si>
  <si>
    <t xml:space="preserve">getEquipmentById(id)
id=1</t>
  </si>
  <si>
    <r>
      <rPr>
        <sz val="16"/>
        <rFont val="FreeSans"/>
        <family val="2"/>
      </rPr>
      <t xml:space="preserve">คืนข้อมูลอุปกรณ์ </t>
    </r>
    <r>
      <rPr>
        <sz val="16"/>
        <rFont val="TH SarabunPSK"/>
        <family val="0"/>
        <charset val="1"/>
      </rPr>
      <t xml:space="preserve">id=1</t>
    </r>
  </si>
  <si>
    <t xml:space="preserve">TC-ES03</t>
  </si>
  <si>
    <t xml:space="preserve">TC-ES04: getEquipmentById_notFound_throwsResourceNotFound</t>
  </si>
  <si>
    <t xml:space="preserve">getEquipmentById(id)
id=99</t>
  </si>
  <si>
    <t xml:space="preserve">TC-ES04</t>
  </si>
  <si>
    <t xml:space="preserve">TC-ES05: getAllEquipments_returnsPageOfResponses</t>
  </si>
  <si>
    <r>
      <rPr>
        <sz val="16"/>
        <rFont val="TH SarabunPSK"/>
        <family val="0"/>
        <charset val="1"/>
      </rPr>
      <t xml:space="preserve">getAllEquipments(pageable)
page=0, size=10 (</t>
    </r>
    <r>
      <rPr>
        <sz val="16"/>
        <rFont val="FreeSans"/>
        <family val="2"/>
      </rPr>
      <t xml:space="preserve">มี </t>
    </r>
    <r>
      <rPr>
        <sz val="16"/>
        <rFont val="TH SarabunPSK"/>
        <family val="0"/>
        <charset val="1"/>
      </rPr>
      <t xml:space="preserve">2 </t>
    </r>
    <r>
      <rPr>
        <sz val="16"/>
        <rFont val="FreeSans"/>
        <family val="2"/>
      </rPr>
      <t xml:space="preserve">รายการ</t>
    </r>
    <r>
      <rPr>
        <sz val="16"/>
        <rFont val="TH SarabunPSK"/>
        <family val="0"/>
        <charset val="1"/>
      </rPr>
      <t xml:space="preserve">)</t>
    </r>
  </si>
  <si>
    <t xml:space="preserve">TC-ES05</t>
  </si>
  <si>
    <t xml:space="preserve">TC-ES06: updateEquipment_updatesFieldsAndSaves</t>
  </si>
  <si>
    <t xml:space="preserve">updateEquipment(id, request)
id=1, name=Microphone, totalQuantity=10</t>
  </si>
  <si>
    <t xml:space="preserve">TC-ES07: updateEquipment_notFound_throwsResourceNotFound</t>
  </si>
  <si>
    <t xml:space="preserve">updateEquipment(id, request)
id=99</t>
  </si>
  <si>
    <t xml:space="preserve">TC-ES08: updateEquipment_negativeQuantity_throwsIllegalArgument</t>
  </si>
  <si>
    <t xml:space="preserve">updateEquipment(id, request)
id=1, totalQuantity=-5</t>
  </si>
  <si>
    <t xml:space="preserve">TC-ES09: deleteEquipment_found_callsDelete</t>
  </si>
  <si>
    <t xml:space="preserve">deleteEquipment(id)
id=1</t>
  </si>
  <si>
    <t xml:space="preserve">TC-ES10: deleteEquipment_notFound_throwsAndDoesNotDelete</t>
  </si>
  <si>
    <t xml:space="preserve">deleteEquipment(id)
id=99</t>
  </si>
  <si>
    <t xml:space="preserve">TC-ES11: deleteEquipment_found_flushesSoForeignKeyErrorIsRaisedHere</t>
  </si>
  <si>
    <t xml:space="preserve">TC-ES12: deleteEquipment_usedInBooking_throwsConflict</t>
  </si>
  <si>
    <r>
      <rPr>
        <sz val="16"/>
        <rFont val="TH SarabunPSK"/>
        <family val="0"/>
        <charset val="1"/>
      </rPr>
      <t xml:space="preserve">deleteEquipment(id)
id=1, flush()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DataIntegrityViolationException</t>
    </r>
  </si>
  <si>
    <r>
      <rPr>
        <sz val="18"/>
        <rFont val="FreeSans"/>
        <family val="2"/>
      </rPr>
      <t xml:space="preserve">ถ้า </t>
    </r>
    <r>
      <rPr>
        <sz val="18"/>
        <rFont val="TH SarabunPSK"/>
        <family val="0"/>
        <charset val="1"/>
      </rPr>
      <t xml:space="preserve">totalQuantity </t>
    </r>
    <r>
      <rPr>
        <sz val="18"/>
        <rFont val="FreeSans"/>
        <family val="2"/>
      </rPr>
      <t xml:space="preserve">ติดลบ ต้อง </t>
    </r>
    <r>
      <rPr>
        <sz val="18"/>
        <rFont val="TH SarabunPSK"/>
        <family val="0"/>
        <charset val="1"/>
      </rPr>
      <t xml:space="preserve">throw IllegalArgumentException </t>
    </r>
    <r>
      <rPr>
        <sz val="18"/>
        <rFont val="FreeSans"/>
        <family val="2"/>
      </rPr>
      <t xml:space="preserve">และไม่บันทึกลงฐานข้อมูล</t>
    </r>
  </si>
  <si>
    <t xml:space="preserve">UAT-CWS-Rental-P2-TS003</t>
  </si>
  <si>
    <t xml:space="preserve">BookingRuleStrategy, StandardRoomRuleStrategy, VipRoomRuleStrategy, BookingRuleStrategyFactory</t>
  </si>
  <si>
    <r>
      <rPr>
        <sz val="18"/>
        <rFont val="FreeSans"/>
        <family val="2"/>
      </rPr>
      <t xml:space="preserve">ห้องแต่ละประเภทมีกฎการอนุมัติต่างกัน </t>
    </r>
    <r>
      <rPr>
        <sz val="18"/>
        <rFont val="TH SarabunPSK"/>
        <family val="0"/>
        <charset val="1"/>
      </rPr>
      <t xml:space="preserve">STANDARD </t>
    </r>
    <r>
      <rPr>
        <sz val="18"/>
        <rFont val="FreeSans"/>
        <family val="2"/>
      </rPr>
      <t xml:space="preserve">ไม่ต้องอนุมัติ </t>
    </r>
    <r>
      <rPr>
        <sz val="18"/>
        <rFont val="TH SarabunPSK"/>
        <family val="0"/>
        <charset val="1"/>
      </rPr>
      <t xml:space="preserve">VIP </t>
    </r>
    <r>
      <rPr>
        <sz val="18"/>
        <rFont val="FreeSans"/>
        <family val="2"/>
      </rPr>
      <t xml:space="preserve">ต้องรอ </t>
    </r>
    <r>
      <rPr>
        <sz val="18"/>
        <rFont val="TH SarabunPSK"/>
        <family val="0"/>
        <charset val="1"/>
      </rPr>
      <t xml:space="preserve">admin </t>
    </r>
    <r>
      <rPr>
        <sz val="18"/>
        <rFont val="FreeSans"/>
        <family val="2"/>
      </rPr>
      <t xml:space="preserve">อนุมัติ </t>
    </r>
    <r>
      <rPr>
        <sz val="18"/>
        <rFont val="TH SarabunPSK"/>
        <family val="0"/>
        <charset val="1"/>
      </rPr>
      <t xml:space="preserve">Factory </t>
    </r>
    <r>
      <rPr>
        <sz val="18"/>
        <rFont val="FreeSans"/>
        <family val="2"/>
      </rPr>
      <t xml:space="preserve">ต้องเลือก </t>
    </r>
    <r>
      <rPr>
        <sz val="18"/>
        <rFont val="TH SarabunPSK"/>
        <family val="0"/>
        <charset val="1"/>
      </rPr>
      <t xml:space="preserve">strategy </t>
    </r>
    <r>
      <rPr>
        <sz val="18"/>
        <rFont val="FreeSans"/>
        <family val="2"/>
      </rPr>
      <t xml:space="preserve">ให้ตรงกับ </t>
    </r>
    <r>
      <rPr>
        <sz val="18"/>
        <rFont val="TH SarabunPSK"/>
        <family val="0"/>
        <charset val="1"/>
      </rPr>
      <t xml:space="preserve">RoomType</t>
    </r>
  </si>
  <si>
    <t xml:space="preserve">TC-ST01: vipRoom_requiresApproval</t>
  </si>
  <si>
    <t xml:space="preserve">requiresApproval()
VipRoomRuleStrategy</t>
  </si>
  <si>
    <t xml:space="preserve">TC-ST02: standardRoom_doesNotRequireApproval</t>
  </si>
  <si>
    <t xml:space="preserve">requiresApproval()
StandardRoomRuleStrategy</t>
  </si>
  <si>
    <t xml:space="preserve">TC-ST03: factory_returnsVipStrategyForVipRoom</t>
  </si>
  <si>
    <t xml:space="preserve">factory.getStrategy(type)
RoomType.VIP</t>
  </si>
  <si>
    <t xml:space="preserve">TC-ST04: factory_returnsStandardStrategyForStandardRoom</t>
  </si>
  <si>
    <t xml:space="preserve">factory.getStrategy(type)
RoomType.STANDARD</t>
  </si>
  <si>
    <t xml:space="preserve">TC-ST05: factory_noStrategyRegistered_throwsIllegalArgument</t>
  </si>
  <si>
    <r>
      <rPr>
        <sz val="16"/>
        <rFont val="TH SarabunPSK"/>
        <family val="0"/>
        <charset val="1"/>
      </rPr>
      <t xml:space="preserve">factory.getStrategy(type)
Factory </t>
    </r>
    <r>
      <rPr>
        <sz val="16"/>
        <rFont val="FreeSans"/>
        <family val="2"/>
      </rPr>
      <t xml:space="preserve">มีแค่ </t>
    </r>
    <r>
      <rPr>
        <sz val="16"/>
        <rFont val="TH SarabunPSK"/>
        <family val="0"/>
        <charset val="1"/>
      </rPr>
      <t xml:space="preserve">VIP, </t>
    </r>
    <r>
      <rPr>
        <sz val="16"/>
        <rFont val="FreeSans"/>
        <family val="2"/>
      </rPr>
      <t xml:space="preserve">ขอ </t>
    </r>
    <r>
      <rPr>
        <sz val="16"/>
        <rFont val="TH SarabunPSK"/>
        <family val="0"/>
        <charset val="1"/>
      </rPr>
      <t xml:space="preserve">RoomType.STANDARD</t>
    </r>
  </si>
  <si>
    <r>
      <rPr>
        <sz val="18"/>
        <rFont val="FreeSans"/>
        <family val="2"/>
      </rPr>
      <t xml:space="preserve">ถ้า </t>
    </r>
    <r>
      <rPr>
        <sz val="18"/>
        <rFont val="TH SarabunPSK"/>
        <family val="0"/>
        <charset val="1"/>
      </rPr>
      <t xml:space="preserve">Factory </t>
    </r>
    <r>
      <rPr>
        <sz val="18"/>
        <rFont val="FreeSans"/>
        <family val="2"/>
      </rPr>
      <t xml:space="preserve">ไม่มี </t>
    </r>
    <r>
      <rPr>
        <sz val="18"/>
        <rFont val="TH SarabunPSK"/>
        <family val="0"/>
        <charset val="1"/>
      </rPr>
      <t xml:space="preserve">strategy </t>
    </r>
    <r>
      <rPr>
        <sz val="18"/>
        <rFont val="FreeSans"/>
        <family val="2"/>
      </rPr>
      <t xml:space="preserve">ของประเภทห้องที่ขอ ต้อง </t>
    </r>
    <r>
      <rPr>
        <sz val="18"/>
        <rFont val="TH SarabunPSK"/>
        <family val="0"/>
        <charset val="1"/>
      </rPr>
      <t xml:space="preserve">throw IllegalArgumentException</t>
    </r>
  </si>
  <si>
    <t xml:space="preserve">UAT-CWS-Rental-P2-TS004</t>
  </si>
  <si>
    <t xml:space="preserve">BookingServiceImpl.java (createBooking)</t>
  </si>
  <si>
    <r>
      <rPr>
        <sz val="18"/>
        <rFont val="TH SarabunPSK"/>
        <family val="0"/>
        <charset val="1"/>
      </rPr>
      <t xml:space="preserve">mock repositories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validation chain </t>
    </r>
    <r>
      <rPr>
        <sz val="18"/>
        <rFont val="FreeSans"/>
        <family val="2"/>
      </rPr>
      <t xml:space="preserve">ด้วย </t>
    </r>
    <r>
      <rPr>
        <sz val="18"/>
        <rFont val="TH SarabunPSK"/>
        <family val="0"/>
        <charset val="1"/>
      </rPr>
      <t xml:space="preserve">Mockito, </t>
    </r>
    <r>
      <rPr>
        <sz val="18"/>
        <rFont val="FreeSans"/>
        <family val="2"/>
      </rPr>
      <t xml:space="preserve">ใช้ </t>
    </r>
    <r>
      <rPr>
        <sz val="18"/>
        <rFont val="TH SarabunPSK"/>
        <family val="0"/>
        <charset val="1"/>
      </rPr>
      <t xml:space="preserve">Factory </t>
    </r>
    <r>
      <rPr>
        <sz val="18"/>
        <rFont val="FreeSans"/>
        <family val="2"/>
      </rPr>
      <t xml:space="preserve">ตัวจริง</t>
    </r>
  </si>
  <si>
    <r>
      <rPr>
        <sz val="18"/>
        <rFont val="FreeSans"/>
        <family val="2"/>
      </rPr>
      <t xml:space="preserve">เมื่อสร้างการจอง ระบบต้องเรียก </t>
    </r>
    <r>
      <rPr>
        <sz val="18"/>
        <rFont val="TH SarabunPSK"/>
        <family val="0"/>
        <charset val="1"/>
      </rPr>
      <t xml:space="preserve">Strategy </t>
    </r>
    <r>
      <rPr>
        <sz val="18"/>
        <rFont val="FreeSans"/>
        <family val="2"/>
      </rPr>
      <t xml:space="preserve">ตามประเภทห้อง ห้อง </t>
    </r>
    <r>
      <rPr>
        <sz val="18"/>
        <rFont val="TH SarabunPSK"/>
        <family val="0"/>
        <charset val="1"/>
      </rPr>
      <t xml:space="preserve">STANDARD </t>
    </r>
    <r>
      <rPr>
        <sz val="18"/>
        <rFont val="FreeSans"/>
        <family val="2"/>
      </rPr>
      <t xml:space="preserve">ได้สถานะ </t>
    </r>
    <r>
      <rPr>
        <sz val="18"/>
        <rFont val="TH SarabunPSK"/>
        <family val="0"/>
        <charset val="1"/>
      </rPr>
      <t xml:space="preserve">APPROVED </t>
    </r>
    <r>
      <rPr>
        <sz val="18"/>
        <rFont val="FreeSans"/>
        <family val="2"/>
      </rPr>
      <t xml:space="preserve">ทันที ห้อง </t>
    </r>
    <r>
      <rPr>
        <sz val="18"/>
        <rFont val="TH SarabunPSK"/>
        <family val="0"/>
        <charset val="1"/>
      </rPr>
      <t xml:space="preserve">VIP </t>
    </r>
    <r>
      <rPr>
        <sz val="18"/>
        <rFont val="FreeSans"/>
        <family val="2"/>
      </rPr>
      <t xml:space="preserve">คงสถานะ </t>
    </r>
    <r>
      <rPr>
        <sz val="18"/>
        <rFont val="TH SarabunPSK"/>
        <family val="0"/>
        <charset val="1"/>
      </rPr>
      <t xml:space="preserve">PENDING </t>
    </r>
    <r>
      <rPr>
        <sz val="18"/>
        <rFont val="FreeSans"/>
        <family val="2"/>
      </rPr>
      <t xml:space="preserve">และสถานะต้องถูกบันทึกก่อน </t>
    </r>
    <r>
      <rPr>
        <sz val="18"/>
        <rFont val="TH SarabunPSK"/>
        <family val="0"/>
        <charset val="1"/>
      </rPr>
      <t xml:space="preserve">save</t>
    </r>
  </si>
  <si>
    <t xml:space="preserve">TC-BK01: createBooking_standardRoom_isApprovedAutomatically</t>
  </si>
  <si>
    <r>
      <rPr>
        <sz val="16"/>
        <rFont val="TH SarabunPSK"/>
        <family val="0"/>
        <charset val="1"/>
      </rPr>
      <t xml:space="preserve">createBooking(request, userId)
</t>
    </r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STANDARD, 1/12/2026 09:00-11:00, userId=1</t>
    </r>
  </si>
  <si>
    <t xml:space="preserve">TC-BK02: createBooking_vipRoom_staysPendingForApproval</t>
  </si>
  <si>
    <r>
      <rPr>
        <sz val="16"/>
        <rFont val="TH SarabunPSK"/>
        <family val="0"/>
        <charset val="1"/>
      </rPr>
      <t xml:space="preserve">createBooking(request, userId)
</t>
    </r>
    <r>
      <rPr>
        <sz val="16"/>
        <rFont val="FreeSans"/>
        <family val="2"/>
      </rPr>
      <t xml:space="preserve">ห้อง </t>
    </r>
    <r>
      <rPr>
        <sz val="16"/>
        <rFont val="TH SarabunPSK"/>
        <family val="0"/>
        <charset val="1"/>
      </rPr>
      <t xml:space="preserve">VIP, 1/12/2026 09:00-11:00, userId=1</t>
    </r>
  </si>
  <si>
    <t xml:space="preserve">UAT-CWS-Rental-P2-TS005</t>
  </si>
  <si>
    <t xml:space="preserve">RoomController.java + GlobalExceptionHandler.java</t>
  </si>
  <si>
    <r>
      <rPr>
        <sz val="18"/>
        <rFont val="TH SarabunPSK"/>
        <family val="0"/>
        <charset val="1"/>
      </rPr>
      <t xml:space="preserve">mock RoomService </t>
    </r>
    <r>
      <rPr>
        <sz val="18"/>
        <rFont val="FreeSans"/>
        <family val="2"/>
      </rPr>
      <t xml:space="preserve">ด้วย </t>
    </r>
    <r>
      <rPr>
        <sz val="18"/>
        <rFont val="TH SarabunPSK"/>
        <family val="0"/>
        <charset val="1"/>
      </rPr>
      <t xml:space="preserve">Mockito, </t>
    </r>
    <r>
      <rPr>
        <sz val="18"/>
        <rFont val="FreeSans"/>
        <family val="2"/>
      </rPr>
      <t xml:space="preserve">ยิง </t>
    </r>
    <r>
      <rPr>
        <sz val="18"/>
        <rFont val="TH SarabunPSK"/>
        <family val="0"/>
        <charset val="1"/>
      </rPr>
      <t xml:space="preserve">request </t>
    </r>
    <r>
      <rPr>
        <sz val="18"/>
        <rFont val="FreeSans"/>
        <family val="2"/>
      </rPr>
      <t xml:space="preserve">ผ่าน </t>
    </r>
    <r>
      <rPr>
        <sz val="18"/>
        <rFont val="TH SarabunPSK"/>
        <family val="0"/>
        <charset val="1"/>
      </rPr>
      <t xml:space="preserve">MockMvc</t>
    </r>
  </si>
  <si>
    <r>
      <rPr>
        <sz val="18"/>
        <rFont val="FreeSans"/>
        <family val="2"/>
      </rPr>
      <t xml:space="preserve">ทดสอบ </t>
    </r>
    <r>
      <rPr>
        <sz val="18"/>
        <rFont val="TH SarabunPSK"/>
        <family val="0"/>
        <charset val="1"/>
      </rPr>
      <t xml:space="preserve">endpoint /api/v1/rooms </t>
    </r>
    <r>
      <rPr>
        <sz val="18"/>
        <rFont val="FreeSans"/>
        <family val="2"/>
      </rPr>
      <t xml:space="preserve">ว่าตอบ </t>
    </r>
    <r>
      <rPr>
        <sz val="18"/>
        <rFont val="TH SarabunPSK"/>
        <family val="0"/>
        <charset val="1"/>
      </rPr>
      <t xml:space="preserve">status code </t>
    </r>
    <r>
      <rPr>
        <sz val="18"/>
        <rFont val="FreeSans"/>
        <family val="2"/>
      </rPr>
      <t xml:space="preserve">ถูกต้อง </t>
    </r>
    <r>
      <rPr>
        <sz val="18"/>
        <rFont val="TH SarabunPSK"/>
        <family val="0"/>
        <charset val="1"/>
      </rPr>
      <t xml:space="preserve">(201, 204, 400, 404, 409)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@Valid </t>
    </r>
    <r>
      <rPr>
        <sz val="18"/>
        <rFont val="FreeSans"/>
        <family val="2"/>
      </rPr>
      <t xml:space="preserve">ตีกลับข้อมูลผิดก่อนถึง </t>
    </r>
    <r>
      <rPr>
        <sz val="18"/>
        <rFont val="TH SarabunPSK"/>
        <family val="0"/>
        <charset val="1"/>
      </rPr>
      <t xml:space="preserve">service </t>
    </r>
    <r>
      <rPr>
        <sz val="18"/>
        <rFont val="FreeSans"/>
        <family val="2"/>
      </rPr>
      <t xml:space="preserve">รวมถึง </t>
    </r>
    <r>
      <rPr>
        <sz val="18"/>
        <rFont val="TH SarabunPSK"/>
        <family val="0"/>
        <charset val="1"/>
      </rPr>
      <t xml:space="preserve">robustness: capacity </t>
    </r>
    <r>
      <rPr>
        <sz val="18"/>
        <rFont val="FreeSans"/>
        <family val="2"/>
      </rPr>
      <t xml:space="preserve">เกินช่วง </t>
    </r>
    <r>
      <rPr>
        <sz val="18"/>
        <rFont val="TH SarabunPSK"/>
        <family val="0"/>
        <charset val="1"/>
      </rPr>
      <t xml:space="preserve">Integer </t>
    </r>
    <r>
      <rPr>
        <sz val="18"/>
        <rFont val="FreeSans"/>
        <family val="2"/>
      </rPr>
      <t xml:space="preserve">ต้องได้ </t>
    </r>
    <r>
      <rPr>
        <sz val="18"/>
        <rFont val="TH SarabunPSK"/>
        <family val="0"/>
        <charset val="1"/>
      </rPr>
      <t xml:space="preserve">400 </t>
    </r>
    <r>
      <rPr>
        <sz val="18"/>
        <rFont val="FreeSans"/>
        <family val="2"/>
      </rPr>
      <t xml:space="preserve">ไม่ใช่ </t>
    </r>
    <r>
      <rPr>
        <sz val="18"/>
        <rFont val="TH SarabunPSK"/>
        <family val="0"/>
        <charset val="1"/>
      </rPr>
      <t xml:space="preserve">500</t>
    </r>
  </si>
  <si>
    <t xml:space="preserve">TC-RC01: createRoom_validBody_returns201</t>
  </si>
  <si>
    <t xml:space="preserve">POST /api/v1/rooms
{name:Room A, capacity:10, floor:2, STANDARD, AVAILABLE}</t>
  </si>
  <si>
    <t xml:space="preserve">TC-RC02: createRoom_invalidBody_returns400AndDoesNotCallService</t>
  </si>
  <si>
    <t xml:space="preserve">POST /api/v1/rooms
{name:"", capacity:0}</t>
  </si>
  <si>
    <t xml:space="preserve">TC-RC03: getRoom_notFound_returns404</t>
  </si>
  <si>
    <t xml:space="preserve">GET /api/v1/rooms/99
id=99</t>
  </si>
  <si>
    <t xml:space="preserve">404 Not Found</t>
  </si>
  <si>
    <t xml:space="preserve">TC-RC03</t>
  </si>
  <si>
    <t xml:space="preserve">TC-RC04: deleteRoom_success_returns204</t>
  </si>
  <si>
    <t xml:space="preserve">DELETE /api/v1/rooms/1
id=1</t>
  </si>
  <si>
    <t xml:space="preserve">TC-RC05: deleteRoom_hasBookings_returns409</t>
  </si>
  <si>
    <r>
      <rPr>
        <sz val="16"/>
        <rFont val="TH SarabunPSK"/>
        <family val="0"/>
        <charset val="1"/>
      </rPr>
      <t xml:space="preserve">DELETE /api/v1/rooms/1
id=1 (service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ConflictException)</t>
    </r>
  </si>
  <si>
    <t xml:space="preserve">TC-RC06: createRoom_capacityAboveIntegerMax_returns400AndDoesNotCallService</t>
  </si>
  <si>
    <r>
      <rPr>
        <sz val="16"/>
        <rFont val="TH SarabunPSK"/>
        <family val="0"/>
        <charset val="1"/>
      </rPr>
      <t xml:space="preserve">POST /api/v1/rooms
{capacity: 2147483648} (</t>
    </r>
    <r>
      <rPr>
        <sz val="16"/>
        <rFont val="FreeSans"/>
        <family val="2"/>
      </rPr>
      <t xml:space="preserve">เกิน </t>
    </r>
    <r>
      <rPr>
        <sz val="16"/>
        <rFont val="TH SarabunPSK"/>
        <family val="0"/>
        <charset val="1"/>
      </rPr>
      <t xml:space="preserve">Integer)</t>
    </r>
  </si>
  <si>
    <r>
      <rPr>
        <sz val="18"/>
        <rFont val="FreeSans"/>
        <family val="2"/>
      </rPr>
      <t xml:space="preserve">ข้อมูลไม่ผ่าน </t>
    </r>
    <r>
      <rPr>
        <sz val="18"/>
        <rFont val="TH SarabunPSK"/>
        <family val="0"/>
        <charset val="1"/>
      </rPr>
      <t xml:space="preserve">validation </t>
    </r>
    <r>
      <rPr>
        <sz val="18"/>
        <rFont val="FreeSans"/>
        <family val="2"/>
      </rPr>
      <t xml:space="preserve">ต้องได้ </t>
    </r>
    <r>
      <rPr>
        <sz val="18"/>
        <rFont val="TH SarabunPSK"/>
        <family val="0"/>
        <charset val="1"/>
      </rPr>
      <t xml:space="preserve">400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service </t>
    </r>
    <r>
      <rPr>
        <sz val="18"/>
        <rFont val="FreeSans"/>
        <family val="2"/>
      </rPr>
      <t xml:space="preserve">ต้องไม่ถูกเรียก</t>
    </r>
  </si>
  <si>
    <t xml:space="preserve">UAT-CWS-Rental-P2-TS006</t>
  </si>
  <si>
    <t xml:space="preserve">EquipmentController.java + GlobalExceptionHandler.java</t>
  </si>
  <si>
    <r>
      <rPr>
        <sz val="18"/>
        <rFont val="TH SarabunPSK"/>
        <family val="0"/>
        <charset val="1"/>
      </rPr>
      <t xml:space="preserve">mock EquipmentService </t>
    </r>
    <r>
      <rPr>
        <sz val="18"/>
        <rFont val="FreeSans"/>
        <family val="2"/>
      </rPr>
      <t xml:space="preserve">ด้วย </t>
    </r>
    <r>
      <rPr>
        <sz val="18"/>
        <rFont val="TH SarabunPSK"/>
        <family val="0"/>
        <charset val="1"/>
      </rPr>
      <t xml:space="preserve">Mockito, </t>
    </r>
    <r>
      <rPr>
        <sz val="18"/>
        <rFont val="FreeSans"/>
        <family val="2"/>
      </rPr>
      <t xml:space="preserve">ยิง </t>
    </r>
    <r>
      <rPr>
        <sz val="18"/>
        <rFont val="TH SarabunPSK"/>
        <family val="0"/>
        <charset val="1"/>
      </rPr>
      <t xml:space="preserve">request </t>
    </r>
    <r>
      <rPr>
        <sz val="18"/>
        <rFont val="FreeSans"/>
        <family val="2"/>
      </rPr>
      <t xml:space="preserve">ผ่าน </t>
    </r>
    <r>
      <rPr>
        <sz val="18"/>
        <rFont val="TH SarabunPSK"/>
        <family val="0"/>
        <charset val="1"/>
      </rPr>
      <t xml:space="preserve">MockMvc</t>
    </r>
  </si>
  <si>
    <r>
      <rPr>
        <sz val="18"/>
        <rFont val="FreeSans"/>
        <family val="2"/>
      </rPr>
      <t xml:space="preserve">ทดสอบ </t>
    </r>
    <r>
      <rPr>
        <sz val="18"/>
        <rFont val="TH SarabunPSK"/>
        <family val="0"/>
        <charset val="1"/>
      </rPr>
      <t xml:space="preserve">endpoint /api/v1/equipments </t>
    </r>
    <r>
      <rPr>
        <sz val="18"/>
        <rFont val="FreeSans"/>
        <family val="2"/>
      </rPr>
      <t xml:space="preserve">ว่าตอบ </t>
    </r>
    <r>
      <rPr>
        <sz val="18"/>
        <rFont val="TH SarabunPSK"/>
        <family val="0"/>
        <charset val="1"/>
      </rPr>
      <t xml:space="preserve">status code </t>
    </r>
    <r>
      <rPr>
        <sz val="18"/>
        <rFont val="FreeSans"/>
        <family val="2"/>
      </rPr>
      <t xml:space="preserve">ถูกต้อง </t>
    </r>
    <r>
      <rPr>
        <sz val="18"/>
        <rFont val="TH SarabunPSK"/>
        <family val="0"/>
        <charset val="1"/>
      </rPr>
      <t xml:space="preserve">(201, 400, 404, 409)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@Valid </t>
    </r>
    <r>
      <rPr>
        <sz val="18"/>
        <rFont val="FreeSans"/>
        <family val="2"/>
      </rPr>
      <t xml:space="preserve">ทำงานทั้ง </t>
    </r>
    <r>
      <rPr>
        <sz val="18"/>
        <rFont val="TH SarabunPSK"/>
        <family val="0"/>
        <charset val="1"/>
      </rPr>
      <t xml:space="preserve">POST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PUT</t>
    </r>
  </si>
  <si>
    <t xml:space="preserve">TC-EC01: createEquipment_validBody_returns201</t>
  </si>
  <si>
    <t xml:space="preserve">POST /api/v1/equipments
{name:Projector, totalQuantity:5, category:Display}</t>
  </si>
  <si>
    <t xml:space="preserve">TC-EC02: createEquipment_negativeQuantity_returns400AndDoesNotCallService</t>
  </si>
  <si>
    <t xml:space="preserve">POST /api/v1/equipments
{name:Projector, totalQuantity:-1}</t>
  </si>
  <si>
    <t xml:space="preserve">TC-EC03: updateEquipment_blankName_returns400AndDoesNotCallService</t>
  </si>
  <si>
    <t xml:space="preserve">PUT /api/v1/equipments/1
{name:"  ", totalQuantity:3}</t>
  </si>
  <si>
    <t xml:space="preserve">TC-EC04: getEquipment_notFound_returns404</t>
  </si>
  <si>
    <t xml:space="preserve">GET /api/v1/equipments/99
id=99</t>
  </si>
  <si>
    <t xml:space="preserve">TC-EC04</t>
  </si>
  <si>
    <t xml:space="preserve">TC-EC05: deleteEquipment_usedInBooking_returns409</t>
  </si>
  <si>
    <r>
      <rPr>
        <sz val="16"/>
        <rFont val="TH SarabunPSK"/>
        <family val="0"/>
        <charset val="1"/>
      </rPr>
      <t xml:space="preserve">DELETE /api/v1/equipments/1
id=1 (service </t>
    </r>
    <r>
      <rPr>
        <sz val="16"/>
        <rFont val="FreeSans"/>
        <family val="2"/>
      </rPr>
      <t xml:space="preserve">โยน </t>
    </r>
    <r>
      <rPr>
        <sz val="16"/>
        <rFont val="TH SarabunPSK"/>
        <family val="0"/>
        <charset val="1"/>
      </rPr>
      <t xml:space="preserve">ConflictException)</t>
    </r>
  </si>
  <si>
    <t xml:space="preserve">UAT-CWS-Rental-P2-TS007</t>
  </si>
  <si>
    <t xml:space="preserve">RoomCreateRequest.java, EquipmentCreateRequest.java</t>
  </si>
  <si>
    <r>
      <rPr>
        <sz val="18"/>
        <rFont val="FreeSans"/>
        <family val="2"/>
      </rPr>
      <t xml:space="preserve">ใช้ </t>
    </r>
    <r>
      <rPr>
        <sz val="18"/>
        <rFont val="TH SarabunPSK"/>
        <family val="0"/>
        <charset val="1"/>
      </rPr>
      <t xml:space="preserve">Bean Validator </t>
    </r>
    <r>
      <rPr>
        <sz val="18"/>
        <rFont val="FreeSans"/>
        <family val="2"/>
      </rPr>
      <t xml:space="preserve">ตัวจริง </t>
    </r>
    <r>
      <rPr>
        <sz val="18"/>
        <rFont val="TH SarabunPSK"/>
        <family val="0"/>
        <charset val="1"/>
      </rPr>
      <t xml:space="preserve">(Hibernate Validator) </t>
    </r>
    <r>
      <rPr>
        <sz val="18"/>
        <rFont val="FreeSans"/>
        <family val="2"/>
      </rPr>
      <t xml:space="preserve">ไม่ใช้ </t>
    </r>
    <r>
      <rPr>
        <sz val="18"/>
        <rFont val="TH SarabunPSK"/>
        <family val="0"/>
        <charset val="1"/>
      </rPr>
      <t xml:space="preserve">mock</t>
    </r>
  </si>
  <si>
    <r>
      <rPr>
        <sz val="18"/>
        <rFont val="FreeSans"/>
        <family val="2"/>
      </rPr>
      <t xml:space="preserve">ทดสอบค่าที่ขอบของ </t>
    </r>
    <r>
      <rPr>
        <sz val="18"/>
        <rFont val="TH SarabunPSK"/>
        <family val="0"/>
        <charset val="1"/>
      </rPr>
      <t xml:space="preserve">input </t>
    </r>
    <r>
      <rPr>
        <sz val="18"/>
        <rFont val="FreeSans"/>
        <family val="2"/>
      </rPr>
      <t xml:space="preserve">ตามหลัก </t>
    </r>
    <r>
      <rPr>
        <sz val="18"/>
        <rFont val="TH SarabunPSK"/>
        <family val="0"/>
        <charset val="1"/>
      </rPr>
      <t xml:space="preserve">Boundary value (Week 3) </t>
    </r>
    <r>
      <rPr>
        <sz val="18"/>
        <rFont val="FreeSans"/>
        <family val="2"/>
      </rPr>
      <t xml:space="preserve">ครบ </t>
    </r>
    <r>
      <rPr>
        <sz val="18"/>
        <rFont val="TH SarabunPSK"/>
        <family val="0"/>
        <charset val="1"/>
      </rPr>
      <t xml:space="preserve">4 </t>
    </r>
    <r>
      <rPr>
        <sz val="18"/>
        <rFont val="FreeSans"/>
        <family val="2"/>
      </rPr>
      <t xml:space="preserve">แบบ</t>
    </r>
    <r>
      <rPr>
        <sz val="18"/>
        <rFont val="TH SarabunPSK"/>
        <family val="0"/>
        <charset val="1"/>
      </rPr>
      <t xml:space="preserve">: normal BVA, robustness, worst-case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robust worst-case </t>
    </r>
    <r>
      <rPr>
        <sz val="18"/>
        <rFont val="FreeSans"/>
        <family val="2"/>
      </rPr>
      <t xml:space="preserve">โดยใช้ตัวแปร </t>
    </r>
    <r>
      <rPr>
        <sz val="18"/>
        <rFont val="TH SarabunPSK"/>
        <family val="0"/>
        <charset val="1"/>
      </rPr>
      <t xml:space="preserve">2 </t>
    </r>
    <r>
      <rPr>
        <sz val="18"/>
        <rFont val="FreeSans"/>
        <family val="2"/>
      </rPr>
      <t xml:space="preserve">ตัว </t>
    </r>
    <r>
      <rPr>
        <sz val="18"/>
        <rFont val="TH SarabunPSK"/>
        <family val="0"/>
        <charset val="1"/>
      </rPr>
      <t xml:space="preserve">(</t>
    </r>
    <r>
      <rPr>
        <sz val="18"/>
        <rFont val="FreeSans"/>
        <family val="2"/>
      </rPr>
      <t xml:space="preserve">ความยาว </t>
    </r>
    <r>
      <rPr>
        <sz val="18"/>
        <rFont val="TH SarabunPSK"/>
        <family val="0"/>
        <charset val="1"/>
      </rPr>
      <t xml:space="preserve">name </t>
    </r>
    <r>
      <rPr>
        <sz val="18"/>
        <rFont val="FreeSans"/>
        <family val="2"/>
      </rPr>
      <t xml:space="preserve">กับ </t>
    </r>
    <r>
      <rPr>
        <sz val="18"/>
        <rFont val="TH SarabunPSK"/>
        <family val="0"/>
        <charset val="1"/>
      </rPr>
      <t xml:space="preserve">capacity / totalQuantity) Equipment </t>
    </r>
    <r>
      <rPr>
        <sz val="18"/>
        <rFont val="FreeSans"/>
        <family val="2"/>
      </rPr>
      <t xml:space="preserve">ทำ </t>
    </r>
    <r>
      <rPr>
        <sz val="18"/>
        <rFont val="TH SarabunPSK"/>
        <family val="0"/>
        <charset val="1"/>
      </rPr>
      <t xml:space="preserve">normal </t>
    </r>
    <r>
      <rPr>
        <sz val="18"/>
        <rFont val="FreeSans"/>
        <family val="2"/>
      </rPr>
      <t xml:space="preserve">และ </t>
    </r>
    <r>
      <rPr>
        <sz val="18"/>
        <rFont val="TH SarabunPSK"/>
        <family val="0"/>
        <charset val="1"/>
      </rPr>
      <t xml:space="preserve">robustness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</si>
  <si>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Normal_Room
(TC-BVR-N01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TC-BVR-N09)</t>
    </r>
  </si>
  <si>
    <r>
      <rPr>
        <sz val="16"/>
        <rFont val="FreeSans"/>
        <family val="2"/>
      </rPr>
      <t xml:space="preserve">ทุกเคสได้ผลตาม </t>
    </r>
    <r>
      <rPr>
        <sz val="16"/>
        <rFont val="TH SarabunPSK"/>
        <family val="0"/>
        <charset val="1"/>
      </rPr>
      <t xml:space="preserve">Expected</t>
    </r>
  </si>
  <si>
    <r>
      <rPr>
        <sz val="16"/>
        <rFont val="TH SarabunPSK"/>
        <family val="0"/>
        <charset val="1"/>
      </rPr>
      <t xml:space="preserve">9 </t>
    </r>
    <r>
      <rPr>
        <sz val="16"/>
        <rFont val="FreeSans"/>
        <family val="2"/>
      </rPr>
      <t xml:space="preserve">เคส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</si>
  <si>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Robustness_Room
(TC-BVR-R01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TC-BVR-R12)</t>
    </r>
  </si>
  <si>
    <r>
      <rPr>
        <sz val="16"/>
        <rFont val="TH SarabunPSK"/>
        <family val="0"/>
        <charset val="1"/>
      </rPr>
      <t xml:space="preserve">12 </t>
    </r>
    <r>
      <rPr>
        <sz val="16"/>
        <rFont val="FreeSans"/>
        <family val="2"/>
      </rPr>
      <t xml:space="preserve">เคส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</si>
  <si>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WorstCase_Room
(TC-BVR-W01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TC-BVR-W25)</t>
    </r>
  </si>
  <si>
    <r>
      <rPr>
        <sz val="16"/>
        <rFont val="TH SarabunPSK"/>
        <family val="0"/>
        <charset val="1"/>
      </rPr>
      <t xml:space="preserve">25 </t>
    </r>
    <r>
      <rPr>
        <sz val="16"/>
        <rFont val="FreeSans"/>
        <family val="2"/>
      </rPr>
      <t xml:space="preserve">เคส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</si>
  <si>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RobustWorst_Room
(TC-BVR-RW01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TC-BVR-RW42)</t>
    </r>
  </si>
  <si>
    <r>
      <rPr>
        <sz val="16"/>
        <rFont val="TH SarabunPSK"/>
        <family val="0"/>
        <charset val="1"/>
      </rPr>
      <t xml:space="preserve">7^n = 49 (</t>
    </r>
    <r>
      <rPr>
        <sz val="16"/>
        <rFont val="FreeSans"/>
        <family val="2"/>
      </rPr>
      <t xml:space="preserve">ทดสอบได้ </t>
    </r>
    <r>
      <rPr>
        <sz val="16"/>
        <rFont val="TH SarabunPSK"/>
        <family val="0"/>
        <charset val="1"/>
      </rPr>
      <t xml:space="preserve">42, capacity max+ </t>
    </r>
    <r>
      <rPr>
        <sz val="16"/>
        <rFont val="FreeSans"/>
        <family val="2"/>
      </rPr>
      <t xml:space="preserve">เกิน </t>
    </r>
    <r>
      <rPr>
        <sz val="16"/>
        <rFont val="TH SarabunPSK"/>
        <family val="0"/>
        <charset val="1"/>
      </rPr>
      <t xml:space="preserve">Integer)</t>
    </r>
  </si>
  <si>
    <r>
      <rPr>
        <sz val="16"/>
        <rFont val="TH SarabunPSK"/>
        <family val="0"/>
        <charset val="1"/>
      </rPr>
      <t xml:space="preserve">42 </t>
    </r>
    <r>
      <rPr>
        <sz val="16"/>
        <rFont val="FreeSans"/>
        <family val="2"/>
      </rPr>
      <t xml:space="preserve">เคส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</si>
  <si>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Normal_Equipment
(TC-BVE-N01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TC-BVE-N09)</t>
    </r>
  </si>
  <si>
    <r>
      <rPr>
        <sz val="16"/>
        <rFont val="FreeSans"/>
        <family val="2"/>
      </rPr>
      <t xml:space="preserve">ดู </t>
    </r>
    <r>
      <rPr>
        <sz val="16"/>
        <rFont val="TH SarabunPSK"/>
        <family val="0"/>
        <charset val="1"/>
      </rPr>
      <t xml:space="preserve">sheet Robustness_Equipment
(TC-BVE-R01 </t>
    </r>
    <r>
      <rPr>
        <sz val="16"/>
        <rFont val="FreeSans"/>
        <family val="2"/>
      </rPr>
      <t xml:space="preserve">ถึง </t>
    </r>
    <r>
      <rPr>
        <sz val="16"/>
        <rFont val="TH SarabunPSK"/>
        <family val="0"/>
        <charset val="1"/>
      </rPr>
      <t xml:space="preserve">TC-BVE-R12)</t>
    </r>
  </si>
  <si>
    <r>
      <rPr>
        <sz val="16"/>
        <rFont val="TH SarabunPSK"/>
        <family val="0"/>
        <charset val="1"/>
      </rPr>
      <t xml:space="preserve">6n+1 = 13 (</t>
    </r>
    <r>
      <rPr>
        <sz val="16"/>
        <rFont val="FreeSans"/>
        <family val="2"/>
      </rPr>
      <t xml:space="preserve">ทดสอบได้ </t>
    </r>
    <r>
      <rPr>
        <sz val="16"/>
        <rFont val="TH SarabunPSK"/>
        <family val="0"/>
        <charset val="1"/>
      </rPr>
      <t xml:space="preserve">12)</t>
    </r>
  </si>
  <si>
    <r>
      <rPr>
        <sz val="18"/>
        <rFont val="FreeSans"/>
        <family val="2"/>
      </rPr>
      <t xml:space="preserve">ค่า </t>
    </r>
    <r>
      <rPr>
        <sz val="18"/>
        <rFont val="TH SarabunPSK"/>
        <family val="0"/>
        <charset val="1"/>
      </rPr>
      <t xml:space="preserve">max+ </t>
    </r>
    <r>
      <rPr>
        <sz val="18"/>
        <rFont val="FreeSans"/>
        <family val="2"/>
      </rPr>
      <t xml:space="preserve">ของ </t>
    </r>
    <r>
      <rPr>
        <sz val="18"/>
        <rFont val="TH SarabunPSK"/>
        <family val="0"/>
        <charset val="1"/>
      </rPr>
      <t xml:space="preserve">capacity (2147483648) </t>
    </r>
    <r>
      <rPr>
        <sz val="18"/>
        <rFont val="FreeSans"/>
        <family val="2"/>
      </rPr>
      <t xml:space="preserve">เกินช่วง </t>
    </r>
    <r>
      <rPr>
        <sz val="18"/>
        <rFont val="TH SarabunPSK"/>
        <family val="0"/>
        <charset val="1"/>
      </rPr>
      <t xml:space="preserve">Integer </t>
    </r>
    <r>
      <rPr>
        <sz val="18"/>
        <rFont val="FreeSans"/>
        <family val="2"/>
      </rPr>
      <t xml:space="preserve">จึงทดสอบที่ระดับ </t>
    </r>
    <r>
      <rPr>
        <sz val="18"/>
        <rFont val="TH SarabunPSK"/>
        <family val="0"/>
        <charset val="1"/>
      </rPr>
      <t xml:space="preserve">API </t>
    </r>
    <r>
      <rPr>
        <sz val="18"/>
        <rFont val="FreeSans"/>
        <family val="2"/>
      </rPr>
      <t xml:space="preserve">แทน </t>
    </r>
    <r>
      <rPr>
        <sz val="18"/>
        <rFont val="TH SarabunPSK"/>
        <family val="0"/>
        <charset val="1"/>
      </rPr>
      <t xml:space="preserve">(TC-RC06)</t>
    </r>
  </si>
  <si>
    <t xml:space="preserve">UAT-CWS-Rental-P2-TS008</t>
  </si>
  <si>
    <r>
      <rPr>
        <sz val="18"/>
        <rFont val="FreeSans"/>
        <family val="2"/>
      </rPr>
      <t xml:space="preserve">ใช้ </t>
    </r>
    <r>
      <rPr>
        <sz val="18"/>
        <rFont val="TH SarabunPSK"/>
        <family val="0"/>
        <charset val="1"/>
      </rPr>
      <t xml:space="preserve">Bean Validator </t>
    </r>
    <r>
      <rPr>
        <sz val="18"/>
        <rFont val="FreeSans"/>
        <family val="2"/>
      </rPr>
      <t xml:space="preserve">ตัวจริง</t>
    </r>
  </si>
  <si>
    <r>
      <rPr>
        <sz val="18"/>
        <rFont val="FreeSans"/>
        <family val="2"/>
      </rPr>
      <t xml:space="preserve">ทดสอบทุก </t>
    </r>
    <r>
      <rPr>
        <sz val="18"/>
        <rFont val="TH SarabunPSK"/>
        <family val="0"/>
        <charset val="1"/>
      </rPr>
      <t xml:space="preserve">equivalence class </t>
    </r>
    <r>
      <rPr>
        <sz val="18"/>
        <rFont val="FreeSans"/>
        <family val="2"/>
      </rPr>
      <t xml:space="preserve">ของ </t>
    </r>
    <r>
      <rPr>
        <sz val="18"/>
        <rFont val="TH SarabunPSK"/>
        <family val="0"/>
        <charset val="1"/>
      </rPr>
      <t xml:space="preserve">input (Week 4) </t>
    </r>
    <r>
      <rPr>
        <sz val="18"/>
        <rFont val="FreeSans"/>
        <family val="2"/>
      </rPr>
      <t xml:space="preserve">แต่ละ </t>
    </r>
    <r>
      <rPr>
        <sz val="18"/>
        <rFont val="TH SarabunPSK"/>
        <family val="0"/>
        <charset val="1"/>
      </rPr>
      <t xml:space="preserve">invalid case </t>
    </r>
    <r>
      <rPr>
        <sz val="18"/>
        <rFont val="FreeSans"/>
        <family val="2"/>
      </rPr>
      <t xml:space="preserve">ผิดแค่ </t>
    </r>
    <r>
      <rPr>
        <sz val="18"/>
        <rFont val="TH SarabunPSK"/>
        <family val="0"/>
        <charset val="1"/>
      </rPr>
      <t xml:space="preserve">1 field </t>
    </r>
    <r>
      <rPr>
        <sz val="18"/>
        <rFont val="FreeSans"/>
        <family val="2"/>
      </rPr>
      <t xml:space="preserve">และต้องมี </t>
    </r>
    <r>
      <rPr>
        <sz val="18"/>
        <rFont val="TH SarabunPSK"/>
        <family val="0"/>
        <charset val="1"/>
      </rPr>
      <t xml:space="preserve">violation </t>
    </r>
    <r>
      <rPr>
        <sz val="18"/>
        <rFont val="FreeSans"/>
        <family val="2"/>
      </rPr>
      <t xml:space="preserve">เพียง </t>
    </r>
    <r>
      <rPr>
        <sz val="18"/>
        <rFont val="TH SarabunPSK"/>
        <family val="0"/>
        <charset val="1"/>
      </rPr>
      <t xml:space="preserve">field </t>
    </r>
    <r>
      <rPr>
        <sz val="18"/>
        <rFont val="FreeSans"/>
        <family val="2"/>
      </rPr>
      <t xml:space="preserve">นั้น เพื่อยืนยันว่า </t>
    </r>
    <r>
      <rPr>
        <sz val="18"/>
        <rFont val="TH SarabunPSK"/>
        <family val="0"/>
        <charset val="1"/>
      </rPr>
      <t xml:space="preserve">validation </t>
    </r>
    <r>
      <rPr>
        <sz val="18"/>
        <rFont val="FreeSans"/>
        <family val="2"/>
      </rPr>
      <t xml:space="preserve">ของ </t>
    </r>
    <r>
      <rPr>
        <sz val="18"/>
        <rFont val="TH SarabunPSK"/>
        <family val="0"/>
        <charset val="1"/>
      </rPr>
      <t xml:space="preserve">field </t>
    </r>
    <r>
      <rPr>
        <sz val="18"/>
        <rFont val="FreeSans"/>
        <family val="2"/>
      </rPr>
      <t xml:space="preserve">นั้นทำงานจริง</t>
    </r>
  </si>
  <si>
    <t xml:space="preserve">TC-ECR-V01: Room valid class</t>
  </si>
  <si>
    <r>
      <rPr>
        <sz val="16"/>
        <rFont val="TH SarabunPSK"/>
        <family val="0"/>
        <charset val="1"/>
      </rPr>
      <t xml:space="preserve">validator.validate(room)
</t>
    </r>
    <r>
      <rPr>
        <sz val="16"/>
        <rFont val="FreeSans"/>
        <family val="2"/>
      </rPr>
      <t xml:space="preserve">ทุก </t>
    </r>
    <r>
      <rPr>
        <sz val="16"/>
        <rFont val="TH SarabunPSK"/>
        <family val="0"/>
        <charset val="1"/>
      </rPr>
      <t xml:space="preserve">field </t>
    </r>
    <r>
      <rPr>
        <sz val="16"/>
        <rFont val="FreeSans"/>
        <family val="2"/>
      </rPr>
      <t xml:space="preserve">ถูกต้อง</t>
    </r>
  </si>
  <si>
    <t xml:space="preserve">TC-ECR-V02: Room valid class</t>
  </si>
  <si>
    <t xml:space="preserve">validator.validate(room)
floor = null</t>
  </si>
  <si>
    <t xml:space="preserve">TC-ECR-V03: Room valid class</t>
  </si>
  <si>
    <r>
      <rPr>
        <sz val="16"/>
        <rFont val="TH SarabunPSK"/>
        <family val="0"/>
        <charset val="1"/>
      </rPr>
      <t xml:space="preserve">validator.validate(room)
floor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20 </t>
    </r>
    <r>
      <rPr>
        <sz val="16"/>
        <rFont val="FreeSans"/>
        <family val="2"/>
      </rPr>
      <t xml:space="preserve">ตัว</t>
    </r>
  </si>
  <si>
    <t xml:space="preserve">TC-ECR-V04: Room valid class</t>
  </si>
  <si>
    <t xml:space="preserve">validator.validate(room)
roomType = VIP</t>
  </si>
  <si>
    <t xml:space="preserve">TC-ECR-V05: Room valid class</t>
  </si>
  <si>
    <t xml:space="preserve">validator.validate(room)
status = MAINTENANCE</t>
  </si>
  <si>
    <t xml:space="preserve">TC-ECR-I01: Room invalid class</t>
  </si>
  <si>
    <r>
      <rPr>
        <sz val="16"/>
        <rFont val="TH SarabunPSK"/>
        <family val="0"/>
        <charset val="1"/>
      </rPr>
      <t xml:space="preserve">validator.validate(room)
name = ""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</si>
  <si>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TC-ECR-I02: Room invalid class</t>
  </si>
  <si>
    <r>
      <rPr>
        <sz val="16"/>
        <rFont val="TH SarabunPSK"/>
        <family val="0"/>
        <charset val="1"/>
      </rPr>
      <t xml:space="preserve">validator.validate(room)
name = "   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</si>
  <si>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TC-ECR-I03: Room invalid class</t>
  </si>
  <si>
    <r>
      <rPr>
        <sz val="16"/>
        <rFont val="TH SarabunPSK"/>
        <family val="0"/>
        <charset val="1"/>
      </rPr>
      <t xml:space="preserve">validator.validate(room)
name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</si>
  <si>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TC-ECR-I04: Room invalid class</t>
  </si>
  <si>
    <r>
      <rPr>
        <sz val="16"/>
        <rFont val="TH SarabunPSK"/>
        <family val="0"/>
        <charset val="1"/>
      </rPr>
      <t xml:space="preserve">validator.validate(room)
name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101 </t>
    </r>
    <r>
      <rPr>
        <sz val="16"/>
        <rFont val="FreeSans"/>
        <family val="2"/>
      </rPr>
      <t xml:space="preserve">ตัว </t>
    </r>
    <r>
      <rPr>
        <sz val="16"/>
        <rFont val="TH SarabunPSK"/>
        <family val="0"/>
        <charset val="1"/>
      </rPr>
      <t xml:space="preserve">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</si>
  <si>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TC-ECR-I05: Room invalid class</t>
  </si>
  <si>
    <r>
      <rPr>
        <sz val="16"/>
        <rFont val="TH SarabunPSK"/>
        <family val="0"/>
        <charset val="1"/>
      </rPr>
      <t xml:space="preserve">validator.validate(room)
capacity = 0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</si>
  <si>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TC-ECR-I06: Room invalid class</t>
  </si>
  <si>
    <r>
      <rPr>
        <sz val="16"/>
        <rFont val="TH SarabunPSK"/>
        <family val="0"/>
        <charset val="1"/>
      </rPr>
      <t xml:space="preserve">validator.validate(room)
capacity = -1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</si>
  <si>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TC-ECR-I07: Room invalid class</t>
  </si>
  <si>
    <r>
      <rPr>
        <sz val="16"/>
        <rFont val="TH SarabunPSK"/>
        <family val="0"/>
        <charset val="1"/>
      </rPr>
      <t xml:space="preserve">validator.validate(room)
capacity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</si>
  <si>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TC-ECR-I08: Room invalid class</t>
  </si>
  <si>
    <r>
      <rPr>
        <sz val="16"/>
        <rFont val="TH SarabunPSK"/>
        <family val="0"/>
        <charset val="1"/>
      </rPr>
      <t xml:space="preserve">validator.validate(room)
floor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21 </t>
    </r>
    <r>
      <rPr>
        <sz val="16"/>
        <rFont val="FreeSans"/>
        <family val="2"/>
      </rPr>
      <t xml:space="preserve">ตัว </t>
    </r>
    <r>
      <rPr>
        <sz val="16"/>
        <rFont val="TH SarabunPSK"/>
        <family val="0"/>
        <charset val="1"/>
      </rPr>
      <t xml:space="preserve">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</si>
  <si>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TC-ECR-I09: Room invalid class</t>
  </si>
  <si>
    <r>
      <rPr>
        <sz val="16"/>
        <rFont val="TH SarabunPSK"/>
        <family val="0"/>
        <charset val="1"/>
      </rPr>
      <t xml:space="preserve">validator.validate(room)
roomType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</si>
  <si>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TC-ECR-I10: Room invalid class</t>
  </si>
  <si>
    <r>
      <rPr>
        <sz val="16"/>
        <rFont val="TH SarabunPSK"/>
        <family val="0"/>
        <charset val="1"/>
      </rPr>
      <t xml:space="preserve">validator.validate(room)
status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</si>
  <si>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TC-ECE-V01: Equipment valid class</t>
  </si>
  <si>
    <r>
      <rPr>
        <sz val="16"/>
        <rFont val="TH SarabunPSK"/>
        <family val="0"/>
        <charset val="1"/>
      </rPr>
      <t xml:space="preserve">validator.validate(equipment)
</t>
    </r>
    <r>
      <rPr>
        <sz val="16"/>
        <rFont val="FreeSans"/>
        <family val="2"/>
      </rPr>
      <t xml:space="preserve">ทุก </t>
    </r>
    <r>
      <rPr>
        <sz val="16"/>
        <rFont val="TH SarabunPSK"/>
        <family val="0"/>
        <charset val="1"/>
      </rPr>
      <t xml:space="preserve">field </t>
    </r>
    <r>
      <rPr>
        <sz val="16"/>
        <rFont val="FreeSans"/>
        <family val="2"/>
      </rPr>
      <t xml:space="preserve">ถูกต้อง</t>
    </r>
  </si>
  <si>
    <t xml:space="preserve">EC13, EC16, EC19</t>
  </si>
  <si>
    <t xml:space="preserve">TC-ECE-V02: Equipment valid class</t>
  </si>
  <si>
    <t xml:space="preserve">validator.validate(equipment)
totalQuantity = 0</t>
  </si>
  <si>
    <t xml:space="preserve">TC-ECE-V03: Equipment valid class</t>
  </si>
  <si>
    <t xml:space="preserve">validator.validate(equipment)
category = null</t>
  </si>
  <si>
    <t xml:space="preserve">TC-ECE-V04: Equipment valid class</t>
  </si>
  <si>
    <r>
      <rPr>
        <sz val="16"/>
        <rFont val="TH SarabunPSK"/>
        <family val="0"/>
        <charset val="1"/>
      </rPr>
      <t xml:space="preserve">validator.validate(equipment)
category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50 </t>
    </r>
    <r>
      <rPr>
        <sz val="16"/>
        <rFont val="FreeSans"/>
        <family val="2"/>
      </rPr>
      <t xml:space="preserve">ตัว</t>
    </r>
  </si>
  <si>
    <t xml:space="preserve">TC-ECE-I01: Equipment invalid class</t>
  </si>
  <si>
    <r>
      <rPr>
        <sz val="16"/>
        <rFont val="TH SarabunPSK"/>
        <family val="0"/>
        <charset val="1"/>
      </rPr>
      <t xml:space="preserve">validator.validate(equipment)
name = ""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</si>
  <si>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TC-ECE-I02: Equipment invalid class</t>
  </si>
  <si>
    <r>
      <rPr>
        <sz val="16"/>
        <rFont val="TH SarabunPSK"/>
        <family val="0"/>
        <charset val="1"/>
      </rPr>
      <t xml:space="preserve">validator.validate(equipment)
name = "   "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</si>
  <si>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TC-ECE-I03: Equipment invalid class</t>
  </si>
  <si>
    <r>
      <rPr>
        <sz val="16"/>
        <rFont val="TH SarabunPSK"/>
        <family val="0"/>
        <charset val="1"/>
      </rPr>
      <t xml:space="preserve">validator.validate(equipment)
name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101 </t>
    </r>
    <r>
      <rPr>
        <sz val="16"/>
        <rFont val="FreeSans"/>
        <family val="2"/>
      </rPr>
      <t xml:space="preserve">ตัว </t>
    </r>
    <r>
      <rPr>
        <sz val="16"/>
        <rFont val="TH SarabunPSK"/>
        <family val="0"/>
        <charset val="1"/>
      </rPr>
      <t xml:space="preserve">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</si>
  <si>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TC-ECE-I04: Equipment invalid class</t>
  </si>
  <si>
    <r>
      <rPr>
        <sz val="16"/>
        <rFont val="TH SarabunPSK"/>
        <family val="0"/>
        <charset val="1"/>
      </rPr>
      <t xml:space="preserve">validator.validate(equipment)
totalQuantity = -1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</si>
  <si>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TC-ECE-I05: Equipment invalid class</t>
  </si>
  <si>
    <r>
      <rPr>
        <sz val="16"/>
        <rFont val="TH SarabunPSK"/>
        <family val="0"/>
        <charset val="1"/>
      </rPr>
      <t xml:space="preserve">validator.validate(equipment)
totalQuantity = null 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</si>
  <si>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TC-ECE-I06: Equipment invalid class</t>
  </si>
  <si>
    <r>
      <rPr>
        <sz val="16"/>
        <rFont val="TH SarabunPSK"/>
        <family val="0"/>
        <charset val="1"/>
      </rPr>
      <t xml:space="preserve">validator.validate(equipment)
category </t>
    </r>
    <r>
      <rPr>
        <sz val="16"/>
        <rFont val="FreeSans"/>
        <family val="2"/>
      </rPr>
      <t xml:space="preserve">ยาว </t>
    </r>
    <r>
      <rPr>
        <sz val="16"/>
        <rFont val="TH SarabunPSK"/>
        <family val="0"/>
        <charset val="1"/>
      </rPr>
      <t xml:space="preserve">51 </t>
    </r>
    <r>
      <rPr>
        <sz val="16"/>
        <rFont val="FreeSans"/>
        <family val="2"/>
      </rPr>
      <t xml:space="preserve">ตัว </t>
    </r>
    <r>
      <rPr>
        <sz val="16"/>
        <rFont val="TH SarabunPSK"/>
        <family val="0"/>
        <charset val="1"/>
      </rPr>
      <t xml:space="preserve">(field </t>
    </r>
    <r>
      <rPr>
        <sz val="16"/>
        <rFont val="FreeSans"/>
        <family val="2"/>
      </rPr>
      <t xml:space="preserve">อื่นถูกต้อง</t>
    </r>
    <r>
      <rPr>
        <sz val="16"/>
        <rFont val="TH SarabunPSK"/>
        <family val="0"/>
        <charset val="1"/>
      </rPr>
      <t xml:space="preserve">)</t>
    </r>
  </si>
  <si>
    <t xml:space="preserve">UAT-CWS-Rental-P2-TS009</t>
  </si>
  <si>
    <r>
      <rPr>
        <sz val="18"/>
        <rFont val="TH SarabunPSK"/>
        <family val="0"/>
        <charset val="1"/>
      </rPr>
      <t xml:space="preserve">Integration: API </t>
    </r>
    <r>
      <rPr>
        <sz val="18"/>
        <rFont val="FreeSans"/>
        <family val="2"/>
      </rPr>
      <t xml:space="preserve">ถึง </t>
    </r>
    <r>
      <rPr>
        <sz val="18"/>
        <rFont val="TH SarabunPSK"/>
        <family val="0"/>
        <charset val="1"/>
      </rPr>
      <t xml:space="preserve">database </t>
    </r>
    <r>
      <rPr>
        <sz val="18"/>
        <rFont val="FreeSans"/>
        <family val="2"/>
      </rPr>
      <t xml:space="preserve">จริง</t>
    </r>
  </si>
  <si>
    <t xml:space="preserve">RoomController, EquipmentController, RoomServiceImpl, EquipmentServiceImpl, Repository, H2</t>
  </si>
  <si>
    <r>
      <rPr>
        <sz val="18"/>
        <rFont val="TH SarabunPSK"/>
        <family val="0"/>
        <charset val="1"/>
      </rPr>
      <t xml:space="preserve">@SpringBootTest + MockMvc, </t>
    </r>
    <r>
      <rPr>
        <sz val="18"/>
        <rFont val="FreeSans"/>
        <family val="2"/>
      </rPr>
      <t xml:space="preserve">ใช้ </t>
    </r>
    <r>
      <rPr>
        <sz val="18"/>
        <rFont val="TH SarabunPSK"/>
        <family val="0"/>
        <charset val="1"/>
      </rPr>
      <t xml:space="preserve">H2 in-memory database (Fake) </t>
    </r>
    <r>
      <rPr>
        <sz val="18"/>
        <rFont val="FreeSans"/>
        <family val="2"/>
      </rPr>
      <t xml:space="preserve">ไม่มี </t>
    </r>
    <r>
      <rPr>
        <sz val="18"/>
        <rFont val="TH SarabunPSK"/>
        <family val="0"/>
        <charset val="1"/>
      </rPr>
      <t xml:space="preserve">mock</t>
    </r>
  </si>
  <si>
    <r>
      <rPr>
        <sz val="18"/>
        <rFont val="FreeSans"/>
        <family val="2"/>
      </rPr>
      <t xml:space="preserve">ทดสอบการทำงานร่วมกันทุก </t>
    </r>
    <r>
      <rPr>
        <sz val="18"/>
        <rFont val="TH SarabunPSK"/>
        <family val="0"/>
        <charset val="1"/>
      </rPr>
      <t xml:space="preserve">layer (Week 9) </t>
    </r>
    <r>
      <rPr>
        <sz val="18"/>
        <rFont val="FreeSans"/>
        <family val="2"/>
      </rPr>
      <t xml:space="preserve">ลบห้อง</t>
    </r>
    <r>
      <rPr>
        <sz val="18"/>
        <rFont val="TH SarabunPSK"/>
        <family val="0"/>
        <charset val="1"/>
      </rPr>
      <t xml:space="preserve">/</t>
    </r>
    <r>
      <rPr>
        <sz val="18"/>
        <rFont val="FreeSans"/>
        <family val="2"/>
      </rPr>
      <t xml:space="preserve">อุปกรณ์ที่มีการจองแล้ว </t>
    </r>
    <r>
      <rPr>
        <sz val="18"/>
        <rFont val="TH SarabunPSK"/>
        <family val="0"/>
        <charset val="1"/>
      </rPr>
      <t xml:space="preserve">foreign key </t>
    </r>
    <r>
      <rPr>
        <sz val="18"/>
        <rFont val="FreeSans"/>
        <family val="2"/>
      </rPr>
      <t xml:space="preserve">ชนจริงใน </t>
    </r>
    <r>
      <rPr>
        <sz val="18"/>
        <rFont val="TH SarabunPSK"/>
        <family val="0"/>
        <charset val="1"/>
      </rPr>
      <t xml:space="preserve">database </t>
    </r>
    <r>
      <rPr>
        <sz val="18"/>
        <rFont val="FreeSans"/>
        <family val="2"/>
      </rPr>
      <t xml:space="preserve">ต้องได้ </t>
    </r>
    <r>
      <rPr>
        <sz val="18"/>
        <rFont val="TH SarabunPSK"/>
        <family val="0"/>
        <charset val="1"/>
      </rPr>
      <t xml:space="preserve">409 </t>
    </r>
    <r>
      <rPr>
        <sz val="18"/>
        <rFont val="FreeSans"/>
        <family val="2"/>
      </rPr>
      <t xml:space="preserve">จาก </t>
    </r>
    <r>
      <rPr>
        <sz val="18"/>
        <rFont val="TH SarabunPSK"/>
        <family val="0"/>
        <charset val="1"/>
      </rPr>
      <t xml:space="preserve">ConflictException </t>
    </r>
    <r>
      <rPr>
        <sz val="18"/>
        <rFont val="FreeSans"/>
        <family val="2"/>
      </rPr>
      <t xml:space="preserve">และข้อมูลต้องยังอยู่</t>
    </r>
  </si>
  <si>
    <t xml:space="preserve">TC-IT01: deleteRoom_withBooking_returns409AndRoomStillExists</t>
  </si>
  <si>
    <r>
      <rPr>
        <sz val="16"/>
        <rFont val="TH SarabunPSK"/>
        <family val="0"/>
        <charset val="1"/>
      </rPr>
      <t xml:space="preserve">DELETE /api/v1/rooms/{id}
</t>
    </r>
    <r>
      <rPr>
        <sz val="16"/>
        <rFont val="FreeSans"/>
        <family val="2"/>
      </rPr>
      <t xml:space="preserve">ห้องที่มี </t>
    </r>
    <r>
      <rPr>
        <sz val="16"/>
        <rFont val="TH SarabunPSK"/>
        <family val="0"/>
        <charset val="1"/>
      </rPr>
      <t xml:space="preserve">booking </t>
    </r>
    <r>
      <rPr>
        <sz val="16"/>
        <rFont val="FreeSans"/>
        <family val="2"/>
      </rPr>
      <t xml:space="preserve">ใน </t>
    </r>
    <r>
      <rPr>
        <sz val="16"/>
        <rFont val="TH SarabunPSK"/>
        <family val="0"/>
        <charset val="1"/>
      </rPr>
      <t xml:space="preserve">DB </t>
    </r>
    <r>
      <rPr>
        <sz val="16"/>
        <rFont val="FreeSans"/>
        <family val="2"/>
      </rPr>
      <t xml:space="preserve">จริง</t>
    </r>
  </si>
  <si>
    <t xml:space="preserve">TC-IT02: deleteRoom_withoutBooking_returns204AndRoomIsRemoved</t>
  </si>
  <si>
    <r>
      <rPr>
        <sz val="16"/>
        <rFont val="TH SarabunPSK"/>
        <family val="0"/>
        <charset val="1"/>
      </rPr>
      <t xml:space="preserve">DELETE /api/v1/rooms/{id}
</t>
    </r>
    <r>
      <rPr>
        <sz val="16"/>
        <rFont val="FreeSans"/>
        <family val="2"/>
      </rPr>
      <t xml:space="preserve">ห้องที่ไม่มี </t>
    </r>
    <r>
      <rPr>
        <sz val="16"/>
        <rFont val="TH SarabunPSK"/>
        <family val="0"/>
        <charset val="1"/>
      </rPr>
      <t xml:space="preserve">booking</t>
    </r>
  </si>
  <si>
    <t xml:space="preserve">TC-IT03: deleteEquipment_usedInBooking_returns409AndEquipmentStillExists</t>
  </si>
  <si>
    <r>
      <rPr>
        <sz val="16"/>
        <rFont val="TH SarabunPSK"/>
        <family val="0"/>
        <charset val="1"/>
      </rPr>
      <t xml:space="preserve">DELETE /api/v1/equipments/{id}
</t>
    </r>
    <r>
      <rPr>
        <sz val="16"/>
        <rFont val="FreeSans"/>
        <family val="2"/>
      </rPr>
      <t xml:space="preserve">อุปกรณ์ที่ผูกกับ </t>
    </r>
    <r>
      <rPr>
        <sz val="16"/>
        <rFont val="TH SarabunPSK"/>
        <family val="0"/>
        <charset val="1"/>
      </rPr>
      <t xml:space="preserve">booking_equipment</t>
    </r>
  </si>
  <si>
    <t xml:space="preserve">TC-IT04: deleteEquipment_unused_returns204AndEquipmentIsRemoved</t>
  </si>
  <si>
    <r>
      <rPr>
        <sz val="16"/>
        <rFont val="TH SarabunPSK"/>
        <family val="0"/>
        <charset val="1"/>
      </rPr>
      <t xml:space="preserve">DELETE /api/v1/equipments/{id}
</t>
    </r>
    <r>
      <rPr>
        <sz val="16"/>
        <rFont val="FreeSans"/>
        <family val="2"/>
      </rPr>
      <t xml:space="preserve">อุปกรณ์ที่ไม่ถูกใช้</t>
    </r>
  </si>
  <si>
    <t xml:space="preserve">TC-IT05: getRoom_notExisting_returns404</t>
  </si>
  <si>
    <t xml:space="preserve">GET /api/v1/rooms/{id}
id = Long.MAX_VALUE</t>
  </si>
  <si>
    <r>
      <rPr>
        <sz val="16"/>
        <rFont val="TH SarabunPSK"/>
        <family val="0"/>
        <charset val="1"/>
      </rPr>
      <t xml:space="preserve">id </t>
    </r>
    <r>
      <rPr>
        <sz val="16"/>
        <rFont val="FreeSans"/>
        <family val="2"/>
      </rPr>
      <t xml:space="preserve">ไม่มีใน </t>
    </r>
    <r>
      <rPr>
        <sz val="16"/>
        <rFont val="TH SarabunPSK"/>
        <family val="0"/>
        <charset val="1"/>
      </rPr>
      <t xml:space="preserve">DB</t>
    </r>
  </si>
  <si>
    <t xml:space="preserve">TC-IT05</t>
  </si>
  <si>
    <t xml:space="preserve">TC-IT06: createRoom_validBody_returns201AndPersists</t>
  </si>
  <si>
    <t xml:space="preserve">POST /api/v1/rooms
{name: IT Created Room, capacity: 12, VIP}</t>
  </si>
  <si>
    <r>
      <rPr>
        <sz val="18"/>
        <rFont val="FreeSans"/>
        <family val="2"/>
      </rPr>
      <t xml:space="preserve">ถ้า </t>
    </r>
    <r>
      <rPr>
        <sz val="18"/>
        <rFont val="TH SarabunPSK"/>
        <family val="0"/>
        <charset val="1"/>
      </rPr>
      <t xml:space="preserve">flush() </t>
    </r>
    <r>
      <rPr>
        <sz val="18"/>
        <rFont val="FreeSans"/>
        <family val="2"/>
      </rPr>
      <t xml:space="preserve">ไม่ทำงาน </t>
    </r>
    <r>
      <rPr>
        <sz val="18"/>
        <rFont val="TH SarabunPSK"/>
        <family val="0"/>
        <charset val="1"/>
      </rPr>
      <t xml:space="preserve">error </t>
    </r>
    <r>
      <rPr>
        <sz val="18"/>
        <rFont val="FreeSans"/>
        <family val="2"/>
      </rPr>
      <t xml:space="preserve">จะเกิดตอน </t>
    </r>
    <r>
      <rPr>
        <sz val="18"/>
        <rFont val="TH SarabunPSK"/>
        <family val="0"/>
        <charset val="1"/>
      </rPr>
      <t xml:space="preserve">commit </t>
    </r>
    <r>
      <rPr>
        <sz val="18"/>
        <rFont val="FreeSans"/>
        <family val="2"/>
      </rPr>
      <t xml:space="preserve">และได้ข้อความกลางของระบบแทน เทสต์จะ </t>
    </r>
    <r>
      <rPr>
        <sz val="18"/>
        <rFont val="TH SarabunPSK"/>
        <family val="0"/>
        <charset val="1"/>
      </rPr>
      <t xml:space="preserve">fail</t>
    </r>
  </si>
  <si>
    <t xml:space="preserve">Co-Working Space Equipment Rental</t>
  </si>
  <si>
    <t xml:space="preserve">Project ID: </t>
  </si>
  <si>
    <t xml:space="preserve">Gray-box testing: Unit test (JUnit 5 + Mockito), API test (MockMvc), Boundary value, Equivalence class, Decision table, Integration test (H2), White-box (JaCoCo)</t>
  </si>
  <si>
    <r>
      <rPr>
        <sz val="16"/>
        <rFont val="FreeSans"/>
        <family val="2"/>
      </rPr>
      <t xml:space="preserve">กฤติธี ศรีใสย์ </t>
    </r>
    <r>
      <rPr>
        <sz val="16"/>
        <rFont val="TH SarabunPSK"/>
        <family val="0"/>
        <charset val="1"/>
      </rPr>
      <t xml:space="preserve">673380572-9</t>
    </r>
  </si>
  <si>
    <t xml:space="preserve">Java 17, Spring Boot 4.1, JUnit 5, Mockito, Maven Surefire 3.5.6, Windows 11    Date: 9/10/2569</t>
  </si>
  <si>
    <t xml:space="preserve">Test Double</t>
  </si>
  <si>
    <t xml:space="preserve">createRoom(request)</t>
  </si>
  <si>
    <t xml:space="preserve">name=Room A, capacity=10, floor=2, VIP, AVAILABLE</t>
  </si>
  <si>
    <r>
      <rPr>
        <sz val="15"/>
        <rFont val="FreeSans"/>
        <family val="2"/>
      </rPr>
      <t xml:space="preserve">บันทึกสำเร็จ คืน </t>
    </r>
    <r>
      <rPr>
        <sz val="15"/>
        <rFont val="TH SarabunPSK"/>
        <family val="0"/>
        <charset val="1"/>
      </rPr>
      <t xml:space="preserve">id=1, name=Room A, roomType=VIP</t>
    </r>
  </si>
  <si>
    <r>
      <rPr>
        <sz val="15"/>
        <rFont val="FreeSans"/>
        <family val="2"/>
      </rPr>
      <t xml:space="preserve">คืน </t>
    </r>
    <r>
      <rPr>
        <sz val="15"/>
        <rFont val="TH SarabunPSK"/>
        <family val="0"/>
        <charset val="1"/>
      </rPr>
      <t xml:space="preserve">id=1, name=Room A, roomType=VIP</t>
    </r>
  </si>
  <si>
    <t xml:space="preserve">Stub (MeetingRoomRepository)</t>
  </si>
  <si>
    <t xml:space="preserve">getRoomById(id)</t>
  </si>
  <si>
    <r>
      <rPr>
        <sz val="15"/>
        <rFont val="FreeSans"/>
        <family val="2"/>
      </rPr>
      <t xml:space="preserve">คืนข้อมูลห้อง </t>
    </r>
    <r>
      <rPr>
        <sz val="15"/>
        <rFont val="TH SarabunPSK"/>
        <family val="0"/>
        <charset val="1"/>
      </rPr>
      <t xml:space="preserve">id=1</t>
    </r>
  </si>
  <si>
    <t xml:space="preserve">getAllRooms(pageable)</t>
  </si>
  <si>
    <r>
      <rPr>
        <sz val="15"/>
        <rFont val="TH SarabunPSK"/>
        <family val="0"/>
        <charset val="1"/>
      </rPr>
      <t xml:space="preserve">page=0, size=10 (</t>
    </r>
    <r>
      <rPr>
        <sz val="15"/>
        <rFont val="FreeSans"/>
        <family val="2"/>
      </rPr>
      <t xml:space="preserve">มี </t>
    </r>
    <r>
      <rPr>
        <sz val="15"/>
        <rFont val="TH SarabunPSK"/>
        <family val="0"/>
        <charset val="1"/>
      </rPr>
      <t xml:space="preserve">2 </t>
    </r>
    <r>
      <rPr>
        <sz val="15"/>
        <rFont val="FreeSans"/>
        <family val="2"/>
      </rPr>
      <t xml:space="preserve">ห้อง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</si>
  <si>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FreeSans"/>
        <family val="2"/>
      </rPr>
      <t xml:space="preserve">คืน </t>
    </r>
    <r>
      <rPr>
        <sz val="15"/>
        <rFont val="TH SarabunPSK"/>
        <family val="0"/>
        <charset val="1"/>
      </rPr>
      <t xml:space="preserve">Page totalElements=2</t>
    </r>
  </si>
  <si>
    <t xml:space="preserve">updateRoom(id, request)</t>
  </si>
  <si>
    <t xml:space="preserve">id=1, name=Room B, capacity=20, MAINTENANCE</t>
  </si>
  <si>
    <r>
      <rPr>
        <sz val="15"/>
        <rFont val="FreeSans"/>
        <family val="2"/>
      </rPr>
      <t xml:space="preserve">ข้อมูลเปลี่ยนเป็น </t>
    </r>
    <r>
      <rPr>
        <sz val="15"/>
        <rFont val="TH SarabunPSK"/>
        <family val="0"/>
        <charset val="1"/>
      </rPr>
      <t xml:space="preserve">Room B, 20, MAINTENANCE</t>
    </r>
  </si>
  <si>
    <r>
      <rPr>
        <sz val="15"/>
        <rFont val="TH SarabunPSK"/>
        <family val="0"/>
        <charset val="1"/>
      </rPr>
      <t xml:space="preserve">throw ResourceNotFoundException </t>
    </r>
    <r>
      <rPr>
        <sz val="15"/>
        <rFont val="FreeSans"/>
        <family val="2"/>
      </rPr>
      <t xml:space="preserve">และไม่ </t>
    </r>
    <r>
      <rPr>
        <sz val="15"/>
        <rFont val="TH SarabunPSK"/>
        <family val="0"/>
        <charset val="1"/>
      </rPr>
      <t xml:space="preserve">save</t>
    </r>
  </si>
  <si>
    <r>
      <rPr>
        <sz val="15"/>
        <rFont val="TH SarabunPSK"/>
        <family val="0"/>
        <charset val="1"/>
      </rPr>
      <t xml:space="preserve">throw ResourceNotFoundException, save </t>
    </r>
    <r>
      <rPr>
        <sz val="15"/>
        <rFont val="FreeSans"/>
        <family val="2"/>
      </rPr>
      <t xml:space="preserve">ไม่ถูกเรียก</t>
    </r>
  </si>
  <si>
    <t xml:space="preserve">Stub (MeetingRoomRepository), Mock (verify MeetingRoomRepository)</t>
  </si>
  <si>
    <r>
      <rPr>
        <sz val="15"/>
        <rFont val="FreeSans"/>
        <family val="2"/>
      </rPr>
      <t xml:space="preserve">เรียก </t>
    </r>
    <r>
      <rPr>
        <sz val="15"/>
        <rFont val="TH SarabunPSK"/>
        <family val="0"/>
        <charset val="1"/>
      </rPr>
      <t xml:space="preserve">delete(room)</t>
    </r>
  </si>
  <si>
    <r>
      <rPr>
        <sz val="15"/>
        <rFont val="TH SarabunPSK"/>
        <family val="0"/>
        <charset val="1"/>
      </rPr>
      <t xml:space="preserve">delete(room) </t>
    </r>
    <r>
      <rPr>
        <sz val="15"/>
        <rFont val="FreeSans"/>
        <family val="2"/>
      </rPr>
      <t xml:space="preserve">ถูกเรียก</t>
    </r>
  </si>
  <si>
    <r>
      <rPr>
        <sz val="15"/>
        <rFont val="TH SarabunPSK"/>
        <family val="0"/>
        <charset val="1"/>
      </rPr>
      <t xml:space="preserve">throw ResourceNotFoundException </t>
    </r>
    <r>
      <rPr>
        <sz val="15"/>
        <rFont val="FreeSans"/>
        <family val="2"/>
      </rPr>
      <t xml:space="preserve">และไม่ </t>
    </r>
    <r>
      <rPr>
        <sz val="15"/>
        <rFont val="TH SarabunPSK"/>
        <family val="0"/>
        <charset val="1"/>
      </rPr>
      <t xml:space="preserve">delete</t>
    </r>
  </si>
  <si>
    <r>
      <rPr>
        <sz val="15"/>
        <rFont val="TH SarabunPSK"/>
        <family val="0"/>
        <charset val="1"/>
      </rPr>
      <t xml:space="preserve">throw ResourceNotFoundException, delete </t>
    </r>
    <r>
      <rPr>
        <sz val="15"/>
        <rFont val="FreeSans"/>
        <family val="2"/>
      </rPr>
      <t xml:space="preserve">ไม่ถูกเรียก</t>
    </r>
  </si>
  <si>
    <r>
      <rPr>
        <sz val="15"/>
        <rFont val="FreeSans"/>
        <family val="2"/>
      </rPr>
      <t xml:space="preserve">เรียก </t>
    </r>
    <r>
      <rPr>
        <sz val="15"/>
        <rFont val="TH SarabunPSK"/>
        <family val="0"/>
        <charset val="1"/>
      </rPr>
      <t xml:space="preserve">flush() </t>
    </r>
    <r>
      <rPr>
        <sz val="15"/>
        <rFont val="FreeSans"/>
        <family val="2"/>
      </rPr>
      <t xml:space="preserve">ทันทีหลัง </t>
    </r>
    <r>
      <rPr>
        <sz val="15"/>
        <rFont val="TH SarabunPSK"/>
        <family val="0"/>
        <charset val="1"/>
      </rPr>
      <t xml:space="preserve">delete</t>
    </r>
  </si>
  <si>
    <r>
      <rPr>
        <sz val="15"/>
        <rFont val="TH SarabunPSK"/>
        <family val="0"/>
        <charset val="1"/>
      </rPr>
      <t xml:space="preserve">flush() </t>
    </r>
    <r>
      <rPr>
        <sz val="15"/>
        <rFont val="FreeSans"/>
        <family val="2"/>
      </rPr>
      <t xml:space="preserve">ถูกเรียก</t>
    </r>
  </si>
  <si>
    <r>
      <rPr>
        <sz val="15"/>
        <rFont val="TH SarabunPSK"/>
        <family val="0"/>
        <charset val="1"/>
      </rPr>
      <t xml:space="preserve">id=1, flush() </t>
    </r>
    <r>
      <rPr>
        <sz val="15"/>
        <rFont val="FreeSans"/>
        <family val="2"/>
      </rPr>
      <t xml:space="preserve">โยน </t>
    </r>
    <r>
      <rPr>
        <sz val="15"/>
        <rFont val="TH SarabunPSK"/>
        <family val="0"/>
        <charset val="1"/>
      </rPr>
      <t xml:space="preserve">DataIntegrityViolationException</t>
    </r>
  </si>
  <si>
    <t xml:space="preserve">createEquipment(request)</t>
  </si>
  <si>
    <t xml:space="preserve">name=Projector, totalQuantity=5, category=Display</t>
  </si>
  <si>
    <r>
      <rPr>
        <sz val="15"/>
        <rFont val="FreeSans"/>
        <family val="2"/>
      </rPr>
      <t xml:space="preserve">บันทึกสำเร็จ คืน </t>
    </r>
    <r>
      <rPr>
        <sz val="15"/>
        <rFont val="TH SarabunPSK"/>
        <family val="0"/>
        <charset val="1"/>
      </rPr>
      <t xml:space="preserve">id=1, totalQuantity=5</t>
    </r>
  </si>
  <si>
    <r>
      <rPr>
        <sz val="15"/>
        <rFont val="FreeSans"/>
        <family val="2"/>
      </rPr>
      <t xml:space="preserve">คืน </t>
    </r>
    <r>
      <rPr>
        <sz val="15"/>
        <rFont val="TH SarabunPSK"/>
        <family val="0"/>
        <charset val="1"/>
      </rPr>
      <t xml:space="preserve">id=1, totalQuantity=5</t>
    </r>
  </si>
  <si>
    <t xml:space="preserve">Stub (EquipmentRepository)</t>
  </si>
  <si>
    <t xml:space="preserve">totalQuantity=-1</t>
  </si>
  <si>
    <r>
      <rPr>
        <sz val="15"/>
        <rFont val="TH SarabunPSK"/>
        <family val="0"/>
        <charset val="1"/>
      </rPr>
      <t xml:space="preserve">throw IllegalArgumentException </t>
    </r>
    <r>
      <rPr>
        <sz val="15"/>
        <rFont val="FreeSans"/>
        <family val="2"/>
      </rPr>
      <t xml:space="preserve">และไม่ </t>
    </r>
    <r>
      <rPr>
        <sz val="15"/>
        <rFont val="TH SarabunPSK"/>
        <family val="0"/>
        <charset val="1"/>
      </rPr>
      <t xml:space="preserve">save</t>
    </r>
  </si>
  <si>
    <r>
      <rPr>
        <sz val="15"/>
        <rFont val="TH SarabunPSK"/>
        <family val="0"/>
        <charset val="1"/>
      </rPr>
      <t xml:space="preserve">throw IllegalArgumentException, save </t>
    </r>
    <r>
      <rPr>
        <sz val="15"/>
        <rFont val="FreeSans"/>
        <family val="2"/>
      </rPr>
      <t xml:space="preserve">ไม่ถูกเรียก</t>
    </r>
  </si>
  <si>
    <t xml:space="preserve">Stub (EquipmentRepository), Mock (verify EquipmentRepository)</t>
  </si>
  <si>
    <t xml:space="preserve">getEquipmentById(id)</t>
  </si>
  <si>
    <r>
      <rPr>
        <sz val="15"/>
        <rFont val="FreeSans"/>
        <family val="2"/>
      </rPr>
      <t xml:space="preserve">คืนข้อมูลอุปกรณ์ </t>
    </r>
    <r>
      <rPr>
        <sz val="15"/>
        <rFont val="TH SarabunPSK"/>
        <family val="0"/>
        <charset val="1"/>
      </rPr>
      <t xml:space="preserve">id=1</t>
    </r>
  </si>
  <si>
    <t xml:space="preserve">getAllEquipments(pageable)</t>
  </si>
  <si>
    <r>
      <rPr>
        <sz val="15"/>
        <rFont val="TH SarabunPSK"/>
        <family val="0"/>
        <charset val="1"/>
      </rPr>
      <t xml:space="preserve">page=0, size=10 (</t>
    </r>
    <r>
      <rPr>
        <sz val="15"/>
        <rFont val="FreeSans"/>
        <family val="2"/>
      </rPr>
      <t xml:space="preserve">มี </t>
    </r>
    <r>
      <rPr>
        <sz val="15"/>
        <rFont val="TH SarabunPSK"/>
        <family val="0"/>
        <charset val="1"/>
      </rPr>
      <t xml:space="preserve">2 </t>
    </r>
    <r>
      <rPr>
        <sz val="15"/>
        <rFont val="FreeSans"/>
        <family val="2"/>
      </rPr>
      <t xml:space="preserve">รายการ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</si>
  <si>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FreeSans"/>
        <family val="2"/>
      </rPr>
      <t xml:space="preserve">ข้อมูลเปลี่ยนเป็น </t>
    </r>
    <r>
      <rPr>
        <sz val="15"/>
        <rFont val="TH SarabunPSK"/>
        <family val="0"/>
        <charset val="1"/>
      </rPr>
      <t xml:space="preserve">Microphone, 10</t>
    </r>
  </si>
  <si>
    <r>
      <rPr>
        <sz val="15"/>
        <rFont val="FreeSans"/>
        <family val="2"/>
      </rPr>
      <t xml:space="preserve">เรียก </t>
    </r>
    <r>
      <rPr>
        <sz val="15"/>
        <rFont val="TH SarabunPSK"/>
        <family val="0"/>
        <charset val="1"/>
      </rPr>
      <t xml:space="preserve">delete(equipment)</t>
    </r>
  </si>
  <si>
    <r>
      <rPr>
        <sz val="15"/>
        <rFont val="TH SarabunPSK"/>
        <family val="0"/>
        <charset val="1"/>
      </rPr>
      <t xml:space="preserve">delete(equipment) </t>
    </r>
    <r>
      <rPr>
        <sz val="15"/>
        <rFont val="FreeSans"/>
        <family val="2"/>
      </rPr>
      <t xml:space="preserve">ถูกเรียก</t>
    </r>
  </si>
  <si>
    <r>
      <rPr>
        <sz val="15"/>
        <rFont val="FreeSans"/>
        <family val="2"/>
      </rPr>
      <t xml:space="preserve">คืนค่า </t>
    </r>
    <r>
      <rPr>
        <sz val="15"/>
        <rFont val="TH SarabunPSK"/>
        <family val="0"/>
        <charset val="1"/>
      </rPr>
      <t xml:space="preserve">true</t>
    </r>
  </si>
  <si>
    <t xml:space="preserve">true</t>
  </si>
  <si>
    <r>
      <rPr>
        <sz val="15"/>
        <rFont val="FreeSans"/>
        <family val="2"/>
      </rPr>
      <t xml:space="preserve">ไม่ใช้ </t>
    </r>
    <r>
      <rPr>
        <sz val="15"/>
        <rFont val="TH SarabunPSK"/>
        <family val="0"/>
        <charset val="1"/>
      </rPr>
      <t xml:space="preserve">(</t>
    </r>
    <r>
      <rPr>
        <sz val="15"/>
        <rFont val="FreeSans"/>
        <family val="2"/>
      </rPr>
      <t xml:space="preserve">ของจริง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</si>
  <si>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FreeSans"/>
        <family val="2"/>
      </rPr>
      <t xml:space="preserve">คืนค่า </t>
    </r>
    <r>
      <rPr>
        <sz val="15"/>
        <rFont val="TH SarabunPSK"/>
        <family val="0"/>
        <charset val="1"/>
      </rPr>
      <t xml:space="preserve">false</t>
    </r>
  </si>
  <si>
    <t xml:space="preserve">false</t>
  </si>
  <si>
    <r>
      <rPr>
        <sz val="15"/>
        <rFont val="FreeSans"/>
        <family val="2"/>
      </rPr>
      <t xml:space="preserve">คืน </t>
    </r>
    <r>
      <rPr>
        <sz val="15"/>
        <rFont val="TH SarabunPSK"/>
        <family val="0"/>
        <charset val="1"/>
      </rPr>
      <t xml:space="preserve">VipRoomRuleStrategy</t>
    </r>
  </si>
  <si>
    <r>
      <rPr>
        <sz val="15"/>
        <rFont val="FreeSans"/>
        <family val="2"/>
      </rPr>
      <t xml:space="preserve">คืน </t>
    </r>
    <r>
      <rPr>
        <sz val="15"/>
        <rFont val="TH SarabunPSK"/>
        <family val="0"/>
        <charset val="1"/>
      </rPr>
      <t xml:space="preserve">StandardRoomRuleStrategy</t>
    </r>
  </si>
  <si>
    <r>
      <rPr>
        <sz val="15"/>
        <rFont val="TH SarabunPSK"/>
        <family val="0"/>
        <charset val="1"/>
      </rPr>
      <t xml:space="preserve">Factory </t>
    </r>
    <r>
      <rPr>
        <sz val="15"/>
        <rFont val="FreeSans"/>
        <family val="2"/>
      </rPr>
      <t xml:space="preserve">มีแค่ </t>
    </r>
    <r>
      <rPr>
        <sz val="15"/>
        <rFont val="TH SarabunPSK"/>
        <family val="0"/>
        <charset val="1"/>
      </rPr>
      <t xml:space="preserve">VIP, </t>
    </r>
    <r>
      <rPr>
        <sz val="15"/>
        <rFont val="FreeSans"/>
        <family val="2"/>
      </rPr>
      <t xml:space="preserve">ขอ </t>
    </r>
    <r>
      <rPr>
        <sz val="15"/>
        <rFont val="TH SarabunPSK"/>
        <family val="0"/>
        <charset val="1"/>
      </rPr>
      <t xml:space="preserve">RoomType.STANDARD</t>
    </r>
  </si>
  <si>
    <r>
      <rPr>
        <sz val="15"/>
        <rFont val="FreeSans"/>
        <family val="2"/>
      </rPr>
      <t xml:space="preserve">ห้อง </t>
    </r>
    <r>
      <rPr>
        <sz val="15"/>
        <rFont val="TH SarabunPSK"/>
        <family val="0"/>
        <charset val="1"/>
      </rPr>
      <t xml:space="preserve">STANDARD, 1/12/2026 09:00-11:00, userId=1</t>
    </r>
  </si>
  <si>
    <r>
      <rPr>
        <sz val="15"/>
        <rFont val="TH SarabunPSK"/>
        <family val="0"/>
        <charset val="1"/>
      </rPr>
      <t xml:space="preserve">status = APPROVED </t>
    </r>
    <r>
      <rPr>
        <sz val="15"/>
        <rFont val="FreeSans"/>
        <family val="2"/>
      </rPr>
      <t xml:space="preserve">และถูก </t>
    </r>
    <r>
      <rPr>
        <sz val="15"/>
        <rFont val="TH SarabunPSK"/>
        <family val="0"/>
        <charset val="1"/>
      </rPr>
      <t xml:space="preserve">save </t>
    </r>
    <r>
      <rPr>
        <sz val="15"/>
        <rFont val="FreeSans"/>
        <family val="2"/>
      </rPr>
      <t xml:space="preserve">เป็น </t>
    </r>
    <r>
      <rPr>
        <sz val="15"/>
        <rFont val="TH SarabunPSK"/>
        <family val="0"/>
        <charset val="1"/>
      </rPr>
      <t xml:space="preserve">APPROVED</t>
    </r>
  </si>
  <si>
    <r>
      <rPr>
        <sz val="15"/>
        <rFont val="TH SarabunPSK"/>
        <family val="0"/>
        <charset val="1"/>
      </rPr>
      <t xml:space="preserve">status = APPROVED, save </t>
    </r>
    <r>
      <rPr>
        <sz val="15"/>
        <rFont val="FreeSans"/>
        <family val="2"/>
      </rPr>
      <t xml:space="preserve">เป็น </t>
    </r>
    <r>
      <rPr>
        <sz val="15"/>
        <rFont val="TH SarabunPSK"/>
        <family val="0"/>
        <charset val="1"/>
      </rPr>
      <t xml:space="preserve">APPROVED</t>
    </r>
  </si>
  <si>
    <t xml:space="preserve">Stub (repository, validation chain), Mock (ArgumentCaptor), Dummy (EquipmentRepository, EventPublisher)</t>
  </si>
  <si>
    <r>
      <rPr>
        <sz val="15"/>
        <rFont val="FreeSans"/>
        <family val="2"/>
      </rPr>
      <t xml:space="preserve">ห้อง </t>
    </r>
    <r>
      <rPr>
        <sz val="15"/>
        <rFont val="TH SarabunPSK"/>
        <family val="0"/>
        <charset val="1"/>
      </rPr>
      <t xml:space="preserve">VIP, 1/12/2026 09:00-11:00, userId=1</t>
    </r>
  </si>
  <si>
    <r>
      <rPr>
        <sz val="15"/>
        <rFont val="TH SarabunPSK"/>
        <family val="0"/>
        <charset val="1"/>
      </rPr>
      <t xml:space="preserve">status = PENDING </t>
    </r>
    <r>
      <rPr>
        <sz val="15"/>
        <rFont val="FreeSans"/>
        <family val="2"/>
      </rPr>
      <t xml:space="preserve">และถูก </t>
    </r>
    <r>
      <rPr>
        <sz val="15"/>
        <rFont val="TH SarabunPSK"/>
        <family val="0"/>
        <charset val="1"/>
      </rPr>
      <t xml:space="preserve">save </t>
    </r>
    <r>
      <rPr>
        <sz val="15"/>
        <rFont val="FreeSans"/>
        <family val="2"/>
      </rPr>
      <t xml:space="preserve">เป็น </t>
    </r>
    <r>
      <rPr>
        <sz val="15"/>
        <rFont val="TH SarabunPSK"/>
        <family val="0"/>
        <charset val="1"/>
      </rPr>
      <t xml:space="preserve">PENDING</t>
    </r>
  </si>
  <si>
    <r>
      <rPr>
        <sz val="15"/>
        <rFont val="TH SarabunPSK"/>
        <family val="0"/>
        <charset val="1"/>
      </rPr>
      <t xml:space="preserve">status = PENDING, save </t>
    </r>
    <r>
      <rPr>
        <sz val="15"/>
        <rFont val="FreeSans"/>
        <family val="2"/>
      </rPr>
      <t xml:space="preserve">เป็น </t>
    </r>
    <r>
      <rPr>
        <sz val="15"/>
        <rFont val="TH SarabunPSK"/>
        <family val="0"/>
        <charset val="1"/>
      </rPr>
      <t xml:space="preserve">PENDING</t>
    </r>
  </si>
  <si>
    <t xml:space="preserve">Stub (RoomService)</t>
  </si>
  <si>
    <r>
      <rPr>
        <sz val="15"/>
        <rFont val="TH SarabunPSK"/>
        <family val="0"/>
        <charset val="1"/>
      </rPr>
      <t xml:space="preserve">400 Bad Request </t>
    </r>
    <r>
      <rPr>
        <sz val="15"/>
        <rFont val="FreeSans"/>
        <family val="2"/>
      </rPr>
      <t xml:space="preserve">และไม่เรียก </t>
    </r>
    <r>
      <rPr>
        <sz val="15"/>
        <rFont val="TH SarabunPSK"/>
        <family val="0"/>
        <charset val="1"/>
      </rPr>
      <t xml:space="preserve">service</t>
    </r>
  </si>
  <si>
    <r>
      <rPr>
        <sz val="15"/>
        <rFont val="TH SarabunPSK"/>
        <family val="0"/>
        <charset val="1"/>
      </rPr>
      <t xml:space="preserve">400 Bad Request, service </t>
    </r>
    <r>
      <rPr>
        <sz val="15"/>
        <rFont val="FreeSans"/>
        <family val="2"/>
      </rPr>
      <t xml:space="preserve">ไม่ถูกเรียก</t>
    </r>
  </si>
  <si>
    <t xml:space="preserve">Stub (RoomService), Mock (verify RoomService)</t>
  </si>
  <si>
    <t xml:space="preserve">GET /api/v1/rooms/99</t>
  </si>
  <si>
    <r>
      <rPr>
        <sz val="15"/>
        <rFont val="TH SarabunPSK"/>
        <family val="0"/>
        <charset val="1"/>
      </rPr>
      <t xml:space="preserve">id=1 (service </t>
    </r>
    <r>
      <rPr>
        <sz val="15"/>
        <rFont val="FreeSans"/>
        <family val="2"/>
      </rPr>
      <t xml:space="preserve">โยน </t>
    </r>
    <r>
      <rPr>
        <sz val="15"/>
        <rFont val="TH SarabunPSK"/>
        <family val="0"/>
        <charset val="1"/>
      </rPr>
      <t xml:space="preserve">ConflictException)</t>
    </r>
  </si>
  <si>
    <r>
      <rPr>
        <sz val="15"/>
        <rFont val="TH SarabunPSK"/>
        <family val="0"/>
        <charset val="1"/>
      </rPr>
      <t xml:space="preserve">{capacity: 2147483648} (</t>
    </r>
    <r>
      <rPr>
        <sz val="15"/>
        <rFont val="FreeSans"/>
        <family val="2"/>
      </rPr>
      <t xml:space="preserve">เกิน </t>
    </r>
    <r>
      <rPr>
        <sz val="15"/>
        <rFont val="TH SarabunPSK"/>
        <family val="0"/>
        <charset val="1"/>
      </rPr>
      <t xml:space="preserve">Integer)</t>
    </r>
  </si>
  <si>
    <t xml:space="preserve">Stub (EquipmentService)</t>
  </si>
  <si>
    <t xml:space="preserve">Stub (EquipmentService), Mock (verify EquipmentService)</t>
  </si>
  <si>
    <t xml:space="preserve">GET /api/v1/equipments/99</t>
  </si>
  <si>
    <r>
      <rPr>
        <sz val="15"/>
        <rFont val="FreeSans"/>
        <family val="2"/>
      </rPr>
      <t xml:space="preserve">ผ่าน </t>
    </r>
    <r>
      <rPr>
        <sz val="15"/>
        <rFont val="TH SarabunPSK"/>
        <family val="0"/>
        <charset val="1"/>
      </rPr>
      <t xml:space="preserve">validation</t>
    </r>
  </si>
  <si>
    <t xml:space="preserve">name length=1 (min), capacity=10 (nom)</t>
  </si>
  <si>
    <t xml:space="preserve">name length=2 (min+), capacity=10 (nom)</t>
  </si>
  <si>
    <t xml:space="preserve">name length=99 (max-), capacity=10 (nom)</t>
  </si>
  <si>
    <t xml:space="preserve">name length=100 (max), capacity=10 (nom)</t>
  </si>
  <si>
    <t xml:space="preserve">name length=50 (nom), capacity=1 (min)</t>
  </si>
  <si>
    <t xml:space="preserve">name length=50 (nom), capacity=2 (min+)</t>
  </si>
  <si>
    <t xml:space="preserve">name length=50 (nom), capacity=2147483646 (max-)</t>
  </si>
  <si>
    <t xml:space="preserve">name length=50 (nom), capacity=2147483647 (max)</t>
  </si>
  <si>
    <r>
      <rPr>
        <sz val="15"/>
        <rFont val="FreeSans"/>
        <family val="2"/>
      </rPr>
      <t xml:space="preserve">ไม่ผ่าน </t>
    </r>
    <r>
      <rPr>
        <sz val="15"/>
        <rFont val="TH SarabunPSK"/>
        <family val="0"/>
        <charset val="1"/>
      </rPr>
      <t xml:space="preserve">validation (name)</t>
    </r>
  </si>
  <si>
    <r>
      <rPr>
        <sz val="15"/>
        <rFont val="FreeSans"/>
        <family val="2"/>
      </rPr>
      <t xml:space="preserve">ไม่ผ่าน </t>
    </r>
    <r>
      <rPr>
        <sz val="15"/>
        <rFont val="TH SarabunPSK"/>
        <family val="0"/>
        <charset val="1"/>
      </rPr>
      <t xml:space="preserve">validation (capacity)</t>
    </r>
  </si>
  <si>
    <t xml:space="preserve">name length=1 (min), capacity=1 (min)</t>
  </si>
  <si>
    <t xml:space="preserve">name length=1 (min), capacity=2 (min+)</t>
  </si>
  <si>
    <t xml:space="preserve">name length=1 (min), capacity=2147483646 (max-)</t>
  </si>
  <si>
    <t xml:space="preserve">name length=1 (min), capacity=2147483647 (max)</t>
  </si>
  <si>
    <t xml:space="preserve">name length=2 (min+), capacity=1 (min)</t>
  </si>
  <si>
    <t xml:space="preserve">name length=2 (min+), capacity=2 (min+)</t>
  </si>
  <si>
    <t xml:space="preserve">name length=2 (min+), capacity=2147483646 (max-)</t>
  </si>
  <si>
    <t xml:space="preserve">name length=2 (min+), capacity=2147483647 (max)</t>
  </si>
  <si>
    <t xml:space="preserve">name length=99 (max-), capacity=1 (min)</t>
  </si>
  <si>
    <t xml:space="preserve">name length=99 (max-), capacity=2 (min+)</t>
  </si>
  <si>
    <t xml:space="preserve">name length=99 (max-), capacity=2147483646 (max-)</t>
  </si>
  <si>
    <t xml:space="preserve">name length=99 (max-), capacity=2147483647 (max)</t>
  </si>
  <si>
    <t xml:space="preserve">name length=100 (max), capacity=1 (min)</t>
  </si>
  <si>
    <t xml:space="preserve">name length=100 (max), capacity=2 (min+)</t>
  </si>
  <si>
    <t xml:space="preserve">name length=100 (max), capacity=2147483646 (max-)</t>
  </si>
  <si>
    <t xml:space="preserve">name length=100 (max), capacity=2147483647 (max)</t>
  </si>
  <si>
    <t xml:space="preserve">name length=0 (min-), capacity=0 (min-)</t>
  </si>
  <si>
    <t xml:space="preserve">name length=0 (min-), capacity=1 (min)</t>
  </si>
  <si>
    <t xml:space="preserve">name length=0 (min-), capacity=2 (min+)</t>
  </si>
  <si>
    <t xml:space="preserve">name length=0 (min-), capacity=2147483646 (max-)</t>
  </si>
  <si>
    <t xml:space="preserve">name length=0 (min-), capacity=2147483647 (max)</t>
  </si>
  <si>
    <t xml:space="preserve">name length=1 (min), capacity=0 (min-)</t>
  </si>
  <si>
    <t xml:space="preserve">name length=2 (min+), capacity=0 (min-)</t>
  </si>
  <si>
    <t xml:space="preserve">name length=99 (max-), capacity=0 (min-)</t>
  </si>
  <si>
    <t xml:space="preserve">name length=100 (max), capacity=0 (min-)</t>
  </si>
  <si>
    <t xml:space="preserve">name length=101 (max+), capacity=0 (min-)</t>
  </si>
  <si>
    <t xml:space="preserve">name length=101 (max+), capacity=1 (min)</t>
  </si>
  <si>
    <t xml:space="preserve">name length=101 (max+), capacity=2 (min+)</t>
  </si>
  <si>
    <t xml:space="preserve">name length=101 (max+), capacity=2147483646 (max-)</t>
  </si>
  <si>
    <t xml:space="preserve">name length=101 (max+), capacity=2147483647 (max)</t>
  </si>
  <si>
    <t xml:space="preserve">name length=50 (nom), totalQuantity=5 (nom)</t>
  </si>
  <si>
    <t xml:space="preserve">name length=1 (min), totalQuantity=5 (nom)</t>
  </si>
  <si>
    <t xml:space="preserve">name length=2 (min+), totalQuantity=5 (nom)</t>
  </si>
  <si>
    <t xml:space="preserve">name length=99 (max-), totalQuantity=5 (nom)</t>
  </si>
  <si>
    <t xml:space="preserve">name length=100 (max), totalQuantity=5 (nom)</t>
  </si>
  <si>
    <t xml:space="preserve">name length=50 (nom), totalQuantity=0 (min)</t>
  </si>
  <si>
    <t xml:space="preserve">name length=50 (nom), totalQuantity=1 (min+)</t>
  </si>
  <si>
    <t xml:space="preserve">name length=50 (nom), totalQuantity=2147483646 (max-)</t>
  </si>
  <si>
    <t xml:space="preserve">name length=50 (nom), totalQuantity=2147483647 (max)</t>
  </si>
  <si>
    <t xml:space="preserve">name length=0 (min-), totalQuantity=5 (nom)</t>
  </si>
  <si>
    <t xml:space="preserve">name length=101 (max+), totalQuantity=5 (nom)</t>
  </si>
  <si>
    <t xml:space="preserve">name length=50 (nom), totalQuantity=-1 (min-)</t>
  </si>
  <si>
    <r>
      <rPr>
        <sz val="15"/>
        <rFont val="FreeSans"/>
        <family val="2"/>
      </rPr>
      <t xml:space="preserve">ไม่ผ่าน </t>
    </r>
    <r>
      <rPr>
        <sz val="15"/>
        <rFont val="TH SarabunPSK"/>
        <family val="0"/>
        <charset val="1"/>
      </rPr>
      <t xml:space="preserve">validation (totalQuantity)</t>
    </r>
  </si>
  <si>
    <r>
      <rPr>
        <sz val="15"/>
        <rFont val="FreeSans"/>
        <family val="2"/>
      </rPr>
      <t xml:space="preserve">ทุก </t>
    </r>
    <r>
      <rPr>
        <sz val="15"/>
        <rFont val="TH SarabunPSK"/>
        <family val="0"/>
        <charset val="1"/>
      </rPr>
      <t xml:space="preserve">field </t>
    </r>
    <r>
      <rPr>
        <sz val="15"/>
        <rFont val="FreeSans"/>
        <family val="2"/>
      </rPr>
      <t xml:space="preserve">ถูกต้อง</t>
    </r>
  </si>
  <si>
    <r>
      <rPr>
        <sz val="15"/>
        <rFont val="FreeSans"/>
        <family val="2"/>
      </rPr>
      <t xml:space="preserve">ไม่มี </t>
    </r>
    <r>
      <rPr>
        <sz val="15"/>
        <rFont val="TH SarabunPSK"/>
        <family val="0"/>
        <charset val="1"/>
      </rPr>
      <t xml:space="preserve">violation</t>
    </r>
  </si>
  <si>
    <t xml:space="preserve">floor = null</t>
  </si>
  <si>
    <r>
      <rPr>
        <sz val="15"/>
        <rFont val="TH SarabunPSK"/>
        <family val="0"/>
        <charset val="1"/>
      </rPr>
      <t xml:space="preserve">floor </t>
    </r>
    <r>
      <rPr>
        <sz val="15"/>
        <rFont val="FreeSans"/>
        <family val="2"/>
      </rPr>
      <t xml:space="preserve">ยาว </t>
    </r>
    <r>
      <rPr>
        <sz val="15"/>
        <rFont val="TH SarabunPSK"/>
        <family val="0"/>
        <charset val="1"/>
      </rPr>
      <t xml:space="preserve">20 </t>
    </r>
    <r>
      <rPr>
        <sz val="15"/>
        <rFont val="FreeSans"/>
        <family val="2"/>
      </rPr>
      <t xml:space="preserve">ตัว</t>
    </r>
  </si>
  <si>
    <t xml:space="preserve">roomType = VIP</t>
  </si>
  <si>
    <t xml:space="preserve">status = MAINTENANCE</t>
  </si>
  <si>
    <r>
      <rPr>
        <sz val="15"/>
        <rFont val="TH SarabunPSK"/>
        <family val="0"/>
        <charset val="1"/>
      </rPr>
      <t xml:space="preserve">name = ""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</si>
  <si>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name</t>
    </r>
  </si>
  <si>
    <r>
      <rPr>
        <sz val="15"/>
        <rFont val="TH SarabunPSK"/>
        <family val="0"/>
        <charset val="1"/>
      </rPr>
      <t xml:space="preserve">name = "   "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</si>
  <si>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name = null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</si>
  <si>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name </t>
    </r>
    <r>
      <rPr>
        <sz val="15"/>
        <rFont val="FreeSans"/>
        <family val="2"/>
      </rPr>
      <t xml:space="preserve">ยาว </t>
    </r>
    <r>
      <rPr>
        <sz val="15"/>
        <rFont val="TH SarabunPSK"/>
        <family val="0"/>
        <charset val="1"/>
      </rPr>
      <t xml:space="preserve">101 </t>
    </r>
    <r>
      <rPr>
        <sz val="15"/>
        <rFont val="FreeSans"/>
        <family val="2"/>
      </rPr>
      <t xml:space="preserve">ตัว </t>
    </r>
    <r>
      <rPr>
        <sz val="15"/>
        <rFont val="TH SarabunPSK"/>
        <family val="0"/>
        <charset val="1"/>
      </rPr>
      <t xml:space="preserve">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</si>
  <si>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capacity = 0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</si>
  <si>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capacity</t>
    </r>
  </si>
  <si>
    <r>
      <rPr>
        <sz val="15"/>
        <rFont val="TH SarabunPSK"/>
        <family val="0"/>
        <charset val="1"/>
      </rPr>
      <t xml:space="preserve">capacity = -1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</si>
  <si>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capacity = null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</si>
  <si>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floor </t>
    </r>
    <r>
      <rPr>
        <sz val="15"/>
        <rFont val="FreeSans"/>
        <family val="2"/>
      </rPr>
      <t xml:space="preserve">ยาว </t>
    </r>
    <r>
      <rPr>
        <sz val="15"/>
        <rFont val="TH SarabunPSK"/>
        <family val="0"/>
        <charset val="1"/>
      </rPr>
      <t xml:space="preserve">21 </t>
    </r>
    <r>
      <rPr>
        <sz val="15"/>
        <rFont val="FreeSans"/>
        <family val="2"/>
      </rPr>
      <t xml:space="preserve">ตัว </t>
    </r>
    <r>
      <rPr>
        <sz val="15"/>
        <rFont val="TH SarabunPSK"/>
        <family val="0"/>
        <charset val="1"/>
      </rPr>
      <t xml:space="preserve">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</si>
  <si>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floor</t>
    </r>
  </si>
  <si>
    <r>
      <rPr>
        <sz val="15"/>
        <rFont val="TH SarabunPSK"/>
        <family val="0"/>
        <charset val="1"/>
      </rPr>
      <t xml:space="preserve">roomType = null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</si>
  <si>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roomType</t>
    </r>
  </si>
  <si>
    <r>
      <rPr>
        <sz val="15"/>
        <rFont val="TH SarabunPSK"/>
        <family val="0"/>
        <charset val="1"/>
      </rPr>
      <t xml:space="preserve">status = null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</si>
  <si>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status</t>
    </r>
  </si>
  <si>
    <t xml:space="preserve">validator.validate(equipment)</t>
  </si>
  <si>
    <t xml:space="preserve">totalQuantity = 0</t>
  </si>
  <si>
    <t xml:space="preserve">category = null</t>
  </si>
  <si>
    <r>
      <rPr>
        <sz val="15"/>
        <rFont val="TH SarabunPSK"/>
        <family val="0"/>
        <charset val="1"/>
      </rPr>
      <t xml:space="preserve">category </t>
    </r>
    <r>
      <rPr>
        <sz val="15"/>
        <rFont val="FreeSans"/>
        <family val="2"/>
      </rPr>
      <t xml:space="preserve">ยาว </t>
    </r>
    <r>
      <rPr>
        <sz val="15"/>
        <rFont val="TH SarabunPSK"/>
        <family val="0"/>
        <charset val="1"/>
      </rPr>
      <t xml:space="preserve">50 </t>
    </r>
    <r>
      <rPr>
        <sz val="15"/>
        <rFont val="FreeSans"/>
        <family val="2"/>
      </rPr>
      <t xml:space="preserve">ตัว</t>
    </r>
  </si>
  <si>
    <r>
      <rPr>
        <sz val="15"/>
        <rFont val="TH SarabunPSK"/>
        <family val="0"/>
        <charset val="1"/>
      </rPr>
      <t xml:space="preserve">totalQuantity = -1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</si>
  <si>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totalQuantity</t>
    </r>
  </si>
  <si>
    <r>
      <rPr>
        <sz val="15"/>
        <rFont val="TH SarabunPSK"/>
        <family val="0"/>
        <charset val="1"/>
      </rPr>
      <t xml:space="preserve">totalQuantity = null 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</si>
  <si>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category </t>
    </r>
    <r>
      <rPr>
        <sz val="15"/>
        <rFont val="FreeSans"/>
        <family val="2"/>
      </rPr>
      <t xml:space="preserve">ยาว </t>
    </r>
    <r>
      <rPr>
        <sz val="15"/>
        <rFont val="TH SarabunPSK"/>
        <family val="0"/>
        <charset val="1"/>
      </rPr>
      <t xml:space="preserve">51 </t>
    </r>
    <r>
      <rPr>
        <sz val="15"/>
        <rFont val="FreeSans"/>
        <family val="2"/>
      </rPr>
      <t xml:space="preserve">ตัว </t>
    </r>
    <r>
      <rPr>
        <sz val="15"/>
        <rFont val="TH SarabunPSK"/>
        <family val="0"/>
        <charset val="1"/>
      </rPr>
      <t xml:space="preserve">(field </t>
    </r>
    <r>
      <rPr>
        <sz val="15"/>
        <rFont val="FreeSans"/>
        <family val="2"/>
      </rPr>
      <t xml:space="preserve">อื่นถูกต้อง</t>
    </r>
    <r>
      <rPr>
        <sz val="15"/>
        <rFont val="TH SarabunPSK"/>
        <family val="0"/>
        <charset val="1"/>
      </rPr>
      <t xml:space="preserve">)</t>
    </r>
  </si>
  <si>
    <r>
      <rPr>
        <sz val="15"/>
        <rFont val="TH SarabunPSK"/>
        <family val="0"/>
        <charset val="1"/>
      </rPr>
      <t xml:space="preserve">violation 1 </t>
    </r>
    <r>
      <rPr>
        <sz val="15"/>
        <rFont val="FreeSans"/>
        <family val="2"/>
      </rPr>
      <t xml:space="preserve">รายการ ที่ </t>
    </r>
    <r>
      <rPr>
        <sz val="15"/>
        <rFont val="TH SarabunPSK"/>
        <family val="0"/>
        <charset val="1"/>
      </rPr>
      <t xml:space="preserve">field category</t>
    </r>
  </si>
  <si>
    <r>
      <rPr>
        <sz val="15"/>
        <rFont val="FreeSans"/>
        <family val="2"/>
      </rPr>
      <t xml:space="preserve">ห้องที่มี </t>
    </r>
    <r>
      <rPr>
        <sz val="15"/>
        <rFont val="TH SarabunPSK"/>
        <family val="0"/>
        <charset val="1"/>
      </rPr>
      <t xml:space="preserve">booking </t>
    </r>
    <r>
      <rPr>
        <sz val="15"/>
        <rFont val="FreeSans"/>
        <family val="2"/>
      </rPr>
      <t xml:space="preserve">ใน </t>
    </r>
    <r>
      <rPr>
        <sz val="15"/>
        <rFont val="TH SarabunPSK"/>
        <family val="0"/>
        <charset val="1"/>
      </rPr>
      <t xml:space="preserve">DB </t>
    </r>
    <r>
      <rPr>
        <sz val="15"/>
        <rFont val="FreeSans"/>
        <family val="2"/>
      </rPr>
      <t xml:space="preserve">จริง</t>
    </r>
  </si>
  <si>
    <r>
      <rPr>
        <sz val="15"/>
        <rFont val="TH SarabunPSK"/>
        <family val="0"/>
        <charset val="1"/>
      </rPr>
      <t xml:space="preserve">409 + message </t>
    </r>
    <r>
      <rPr>
        <sz val="15"/>
        <rFont val="FreeSans"/>
        <family val="2"/>
      </rPr>
      <t xml:space="preserve">มี </t>
    </r>
    <r>
      <rPr>
        <sz val="15"/>
        <rFont val="TH SarabunPSK"/>
        <family val="0"/>
        <charset val="1"/>
      </rPr>
      <t xml:space="preserve">"(id: x)" </t>
    </r>
    <r>
      <rPr>
        <sz val="15"/>
        <rFont val="FreeSans"/>
        <family val="2"/>
      </rPr>
      <t xml:space="preserve">และห้องยังอยู่ใน </t>
    </r>
    <r>
      <rPr>
        <sz val="15"/>
        <rFont val="TH SarabunPSK"/>
        <family val="0"/>
        <charset val="1"/>
      </rPr>
      <t xml:space="preserve">DB</t>
    </r>
  </si>
  <si>
    <t xml:space="preserve">Fake (H2 in-memory DB)</t>
  </si>
  <si>
    <r>
      <rPr>
        <sz val="15"/>
        <rFont val="FreeSans"/>
        <family val="2"/>
      </rPr>
      <t xml:space="preserve">ห้องที่ไม่มี </t>
    </r>
    <r>
      <rPr>
        <sz val="15"/>
        <rFont val="TH SarabunPSK"/>
        <family val="0"/>
        <charset val="1"/>
      </rPr>
      <t xml:space="preserve">booking</t>
    </r>
  </si>
  <si>
    <r>
      <rPr>
        <sz val="15"/>
        <rFont val="TH SarabunPSK"/>
        <family val="0"/>
        <charset val="1"/>
      </rPr>
      <t xml:space="preserve">204 </t>
    </r>
    <r>
      <rPr>
        <sz val="15"/>
        <rFont val="FreeSans"/>
        <family val="2"/>
      </rPr>
      <t xml:space="preserve">และห้องหายจาก </t>
    </r>
    <r>
      <rPr>
        <sz val="15"/>
        <rFont val="TH SarabunPSK"/>
        <family val="0"/>
        <charset val="1"/>
      </rPr>
      <t xml:space="preserve">DB</t>
    </r>
  </si>
  <si>
    <r>
      <rPr>
        <sz val="15"/>
        <rFont val="FreeSans"/>
        <family val="2"/>
      </rPr>
      <t xml:space="preserve">อุปกรณ์ที่ผูกกับ </t>
    </r>
    <r>
      <rPr>
        <sz val="15"/>
        <rFont val="TH SarabunPSK"/>
        <family val="0"/>
        <charset val="1"/>
      </rPr>
      <t xml:space="preserve">booking_equipment</t>
    </r>
  </si>
  <si>
    <r>
      <rPr>
        <sz val="15"/>
        <rFont val="TH SarabunPSK"/>
        <family val="0"/>
        <charset val="1"/>
      </rPr>
      <t xml:space="preserve">409 + message </t>
    </r>
    <r>
      <rPr>
        <sz val="15"/>
        <rFont val="FreeSans"/>
        <family val="2"/>
      </rPr>
      <t xml:space="preserve">มี </t>
    </r>
    <r>
      <rPr>
        <sz val="15"/>
        <rFont val="TH SarabunPSK"/>
        <family val="0"/>
        <charset val="1"/>
      </rPr>
      <t xml:space="preserve">"(id: x)" </t>
    </r>
    <r>
      <rPr>
        <sz val="15"/>
        <rFont val="FreeSans"/>
        <family val="2"/>
      </rPr>
      <t xml:space="preserve">และอุปกรณ์ยังอยู่</t>
    </r>
  </si>
  <si>
    <r>
      <rPr>
        <sz val="15"/>
        <rFont val="TH SarabunPSK"/>
        <family val="0"/>
        <charset val="1"/>
      </rPr>
      <t xml:space="preserve">204 </t>
    </r>
    <r>
      <rPr>
        <sz val="15"/>
        <rFont val="FreeSans"/>
        <family val="2"/>
      </rPr>
      <t xml:space="preserve">และอุปกรณ์หายจาก </t>
    </r>
    <r>
      <rPr>
        <sz val="15"/>
        <rFont val="TH SarabunPSK"/>
        <family val="0"/>
        <charset val="1"/>
      </rPr>
      <t xml:space="preserve">DB</t>
    </r>
  </si>
  <si>
    <t xml:space="preserve">GET /api/v1/rooms/{id}</t>
  </si>
  <si>
    <t xml:space="preserve">id = Long.MAX_VALUE</t>
  </si>
  <si>
    <r>
      <rPr>
        <sz val="15"/>
        <rFont val="TH SarabunPSK"/>
        <family val="0"/>
        <charset val="1"/>
      </rPr>
      <t xml:space="preserve">201 </t>
    </r>
    <r>
      <rPr>
        <sz val="15"/>
        <rFont val="FreeSans"/>
        <family val="2"/>
      </rPr>
      <t xml:space="preserve">และบันทึกลง </t>
    </r>
    <r>
      <rPr>
        <sz val="15"/>
        <rFont val="TH SarabunPSK"/>
        <family val="0"/>
        <charset val="1"/>
      </rPr>
      <t xml:space="preserve">DB </t>
    </r>
    <r>
      <rPr>
        <sz val="15"/>
        <rFont val="FreeSans"/>
        <family val="2"/>
      </rPr>
      <t xml:space="preserve">จริง</t>
    </r>
  </si>
  <si>
    <r>
      <rPr>
        <sz val="14"/>
        <rFont val="FreeSans"/>
        <family val="2"/>
      </rPr>
      <t xml:space="preserve">อัปเดตผลที่ </t>
    </r>
    <r>
      <rPr>
        <sz val="14"/>
        <rFont val="TH SarabunPSK"/>
        <family val="0"/>
        <charset val="1"/>
      </rPr>
      <t xml:space="preserve">sheet </t>
    </r>
    <r>
      <rPr>
        <sz val="14"/>
        <rFont val="FreeSans"/>
        <family val="2"/>
      </rPr>
      <t xml:space="preserve">นี้ที่เดียว </t>
    </r>
    <r>
      <rPr>
        <sz val="14"/>
        <rFont val="TH SarabunPSK"/>
        <family val="0"/>
        <charset val="1"/>
      </rPr>
      <t xml:space="preserve">(Status + Actual Result) sheet </t>
    </r>
    <r>
      <rPr>
        <sz val="14"/>
        <rFont val="FreeSans"/>
        <family val="2"/>
      </rPr>
      <t xml:space="preserve">อื่นดึงค่าจากที่นี่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</si>
</sst>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H SarabunPSK"/>
      <family val="0"/>
      <charset val="1"/>
    </font>
    <font>
      <sz val="18"/>
      <name val="TH SarabunPSK"/>
      <family val="0"/>
      <charset val="1"/>
    </font>
    <font>
      <sz val="18"/>
      <name val="FreeSans"/>
      <family val="2"/>
    </font>
    <font>
      <b val="true"/>
      <sz val="16"/>
      <name val="TH SarabunPSK"/>
      <family val="0"/>
      <charset val="1"/>
    </font>
    <font>
      <sz val="16"/>
      <name val="TH SarabunPSK"/>
      <family val="0"/>
      <charset val="1"/>
    </font>
    <font>
      <sz val="16"/>
      <name val="FreeSans"/>
      <family val="2"/>
    </font>
    <font>
      <sz val="11"/>
      <name val="TH SarabunPSK"/>
      <family val="0"/>
      <charset val="1"/>
    </font>
    <font>
      <b val="true"/>
      <sz val="18"/>
      <name val="FreeSans"/>
      <family val="2"/>
    </font>
    <font>
      <b val="true"/>
      <sz val="16"/>
      <name val="FreeSans"/>
      <family val="2"/>
    </font>
    <font>
      <sz val="15"/>
      <name val="TH SarabunPSK"/>
      <family val="0"/>
      <charset val="1"/>
    </font>
    <font>
      <sz val="15"/>
      <name val="FreeSans"/>
      <family val="2"/>
    </font>
    <font>
      <sz val="14"/>
      <name val="FreeSans"/>
      <family val="2"/>
    </font>
    <font>
      <sz val="14"/>
      <name val="TH SarabunPSK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DBDBDB"/>
        <bgColor rgb="FFE7E6E6"/>
      </patternFill>
    </fill>
    <fill>
      <patternFill patternType="solid">
        <fgColor rgb="FFE7E6E6"/>
        <bgColor rgb="FFDBDBDB"/>
      </patternFill>
    </fill>
    <fill>
      <patternFill patternType="solid">
        <fgColor rgb="FFFBE4D5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D5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0.71"/>
    <col collapsed="false" customWidth="true" hidden="false" outlineLevel="0" max="7" min="7" style="0" width="13.5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1" min="11" style="0" width="16"/>
    <col collapsed="false" customWidth="true" hidden="false" outlineLevel="0" max="12" min="12" style="0" width="22"/>
  </cols>
  <sheetData>
    <row r="1" customFormat="false" ht="22.05" hidden="false" customHeight="false" outlineLevel="0" collapsed="false">
      <c r="A1" s="1" t="s">
        <v>0</v>
      </c>
      <c r="B1" s="2" t="s">
        <v>1</v>
      </c>
    </row>
    <row r="2" customFormat="false" ht="22.05" hidden="false" customHeight="false" outlineLevel="0" collapsed="false">
      <c r="A2" s="1" t="s">
        <v>2</v>
      </c>
      <c r="B2" s="3" t="s">
        <v>3</v>
      </c>
      <c r="K2" s="4" t="s">
        <v>0</v>
      </c>
      <c r="L2" s="5" t="s">
        <v>1</v>
      </c>
    </row>
    <row r="3" customFormat="false" ht="22.05" hidden="false" customHeight="false" outlineLevel="0" collapsed="false">
      <c r="A3" s="1" t="s">
        <v>4</v>
      </c>
      <c r="B3" s="6"/>
      <c r="K3" s="4" t="s">
        <v>2</v>
      </c>
      <c r="L3" s="7" t="s">
        <v>3</v>
      </c>
    </row>
    <row r="4" customFormat="false" ht="19.7" hidden="false" customHeight="false" outlineLevel="0" collapsed="false">
      <c r="K4" s="4" t="s">
        <v>4</v>
      </c>
      <c r="L4" s="5" t="s">
        <v>5</v>
      </c>
    </row>
    <row r="5" customFormat="false" ht="38.8" hidden="false" customHeight="false" outlineLevel="0" collapsed="false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</row>
    <row r="6" customFormat="false" ht="20.1" hidden="false" customHeight="false" outlineLevel="0" collapsed="false">
      <c r="A6" s="9" t="s">
        <v>15</v>
      </c>
      <c r="B6" s="9" t="s">
        <v>16</v>
      </c>
      <c r="C6" s="10" t="s">
        <v>17</v>
      </c>
      <c r="D6" s="9" t="n">
        <f aca="false">COUNTIF('Test Case Design &amp; Test Results'!$A$10:$A$189,B6)</f>
        <v>10</v>
      </c>
      <c r="E6" s="9" t="n">
        <f aca="false">COUNTIFS('Test Case Design &amp; Test Results'!$A$10:$A$189,B6,'Test Case Design &amp; Test Results'!$G$10:$G$189,"Pass")</f>
        <v>10</v>
      </c>
      <c r="F6" s="9" t="n">
        <f aca="false">COUNTIFS('Test Case Design &amp; Test Results'!$A$10:$A$189,B6,'Test Case Design &amp; Test Results'!$G$10:$G$189,"Fail")</f>
        <v>0</v>
      </c>
      <c r="G6" s="9" t="n">
        <f aca="false">COUNTIFS('Test Case Design &amp; Test Results'!$A$10:$A$189,B6,'Test Case Design &amp; Test Results'!$G$10:$G$189,"No run")</f>
        <v>0</v>
      </c>
      <c r="H6" s="9" t="n">
        <f aca="false">COUNTIFS('Test Case Design &amp; Test Results'!$A$10:$A$189,B6,'Test Case Design &amp; Test Results'!$G$10:$G$189,"Block")</f>
        <v>0</v>
      </c>
      <c r="I6" s="10" t="s">
        <v>18</v>
      </c>
    </row>
    <row r="7" customFormat="false" ht="38.8" hidden="false" customHeight="false" outlineLevel="0" collapsed="false">
      <c r="A7" s="9" t="s">
        <v>19</v>
      </c>
      <c r="B7" s="9" t="s">
        <v>20</v>
      </c>
      <c r="C7" s="10" t="s">
        <v>21</v>
      </c>
      <c r="D7" s="9" t="n">
        <f aca="false">COUNTIF('Test Case Design &amp; Test Results'!$A$10:$A$189,B7)</f>
        <v>12</v>
      </c>
      <c r="E7" s="9" t="n">
        <f aca="false">COUNTIFS('Test Case Design &amp; Test Results'!$A$10:$A$189,B7,'Test Case Design &amp; Test Results'!$G$10:$G$189,"Pass")</f>
        <v>12</v>
      </c>
      <c r="F7" s="9" t="n">
        <f aca="false">COUNTIFS('Test Case Design &amp; Test Results'!$A$10:$A$189,B7,'Test Case Design &amp; Test Results'!$G$10:$G$189,"Fail")</f>
        <v>0</v>
      </c>
      <c r="G7" s="9" t="n">
        <f aca="false">COUNTIFS('Test Case Design &amp; Test Results'!$A$10:$A$189,B7,'Test Case Design &amp; Test Results'!$G$10:$G$189,"No run")</f>
        <v>0</v>
      </c>
      <c r="H7" s="9" t="n">
        <f aca="false">COUNTIFS('Test Case Design &amp; Test Results'!$A$10:$A$189,B7,'Test Case Design &amp; Test Results'!$G$10:$G$189,"Block")</f>
        <v>0</v>
      </c>
      <c r="I7" s="10" t="s">
        <v>22</v>
      </c>
    </row>
    <row r="8" customFormat="false" ht="20.1" hidden="false" customHeight="false" outlineLevel="0" collapsed="false">
      <c r="A8" s="9" t="s">
        <v>23</v>
      </c>
      <c r="B8" s="9" t="s">
        <v>24</v>
      </c>
      <c r="C8" s="10" t="s">
        <v>25</v>
      </c>
      <c r="D8" s="9" t="n">
        <f aca="false">COUNTIF('Test Case Design &amp; Test Results'!$A$10:$A$189,B8)</f>
        <v>5</v>
      </c>
      <c r="E8" s="9" t="n">
        <f aca="false">COUNTIFS('Test Case Design &amp; Test Results'!$A$10:$A$189,B8,'Test Case Design &amp; Test Results'!$G$10:$G$189,"Pass")</f>
        <v>5</v>
      </c>
      <c r="F8" s="9" t="n">
        <f aca="false">COUNTIFS('Test Case Design &amp; Test Results'!$A$10:$A$189,B8,'Test Case Design &amp; Test Results'!$G$10:$G$189,"Fail")</f>
        <v>0</v>
      </c>
      <c r="G8" s="9" t="n">
        <f aca="false">COUNTIFS('Test Case Design &amp; Test Results'!$A$10:$A$189,B8,'Test Case Design &amp; Test Results'!$G$10:$G$189,"No run")</f>
        <v>0</v>
      </c>
      <c r="H8" s="9" t="n">
        <f aca="false">COUNTIFS('Test Case Design &amp; Test Results'!$A$10:$A$189,B8,'Test Case Design &amp; Test Results'!$G$10:$G$189,"Block")</f>
        <v>0</v>
      </c>
      <c r="I8" s="10" t="s">
        <v>26</v>
      </c>
    </row>
    <row r="9" customFormat="false" ht="38.8" hidden="false" customHeight="false" outlineLevel="0" collapsed="false">
      <c r="A9" s="9" t="s">
        <v>23</v>
      </c>
      <c r="B9" s="9" t="s">
        <v>27</v>
      </c>
      <c r="C9" s="10" t="s">
        <v>28</v>
      </c>
      <c r="D9" s="9" t="n">
        <f aca="false">COUNTIF('Test Case Design &amp; Test Results'!$A$10:$A$189,B9)</f>
        <v>2</v>
      </c>
      <c r="E9" s="9" t="n">
        <f aca="false">COUNTIFS('Test Case Design &amp; Test Results'!$A$10:$A$189,B9,'Test Case Design &amp; Test Results'!$G$10:$G$189,"Pass")</f>
        <v>2</v>
      </c>
      <c r="F9" s="9" t="n">
        <f aca="false">COUNTIFS('Test Case Design &amp; Test Results'!$A$10:$A$189,B9,'Test Case Design &amp; Test Results'!$G$10:$G$189,"Fail")</f>
        <v>0</v>
      </c>
      <c r="G9" s="9" t="n">
        <f aca="false">COUNTIFS('Test Case Design &amp; Test Results'!$A$10:$A$189,B9,'Test Case Design &amp; Test Results'!$G$10:$G$189,"No run")</f>
        <v>0</v>
      </c>
      <c r="H9" s="9" t="n">
        <f aca="false">COUNTIFS('Test Case Design &amp; Test Results'!$A$10:$A$189,B9,'Test Case Design &amp; Test Results'!$G$10:$G$189,"Block")</f>
        <v>0</v>
      </c>
      <c r="I9" s="10" t="s">
        <v>29</v>
      </c>
    </row>
    <row r="10" customFormat="false" ht="38.8" hidden="false" customHeight="false" outlineLevel="0" collapsed="false">
      <c r="A10" s="9" t="s">
        <v>30</v>
      </c>
      <c r="B10" s="9" t="s">
        <v>31</v>
      </c>
      <c r="C10" s="10" t="s">
        <v>32</v>
      </c>
      <c r="D10" s="9" t="n">
        <f aca="false">COUNTIF('Test Case Design &amp; Test Results'!$A$10:$A$189,B10)</f>
        <v>6</v>
      </c>
      <c r="E10" s="9" t="n">
        <f aca="false">COUNTIFS('Test Case Design &amp; Test Results'!$A$10:$A$189,B10,'Test Case Design &amp; Test Results'!$G$10:$G$189,"Pass")</f>
        <v>6</v>
      </c>
      <c r="F10" s="9" t="n">
        <f aca="false">COUNTIFS('Test Case Design &amp; Test Results'!$A$10:$A$189,B10,'Test Case Design &amp; Test Results'!$G$10:$G$189,"Fail")</f>
        <v>0</v>
      </c>
      <c r="G10" s="9" t="n">
        <f aca="false">COUNTIFS('Test Case Design &amp; Test Results'!$A$10:$A$189,B10,'Test Case Design &amp; Test Results'!$G$10:$G$189,"No run")</f>
        <v>0</v>
      </c>
      <c r="H10" s="9" t="n">
        <f aca="false">COUNTIFS('Test Case Design &amp; Test Results'!$A$10:$A$189,B10,'Test Case Design &amp; Test Results'!$G$10:$G$189,"Block")</f>
        <v>0</v>
      </c>
      <c r="I10" s="10" t="s">
        <v>33</v>
      </c>
    </row>
    <row r="11" customFormat="false" ht="38.8" hidden="false" customHeight="false" outlineLevel="0" collapsed="false">
      <c r="A11" s="9" t="s">
        <v>34</v>
      </c>
      <c r="B11" s="9" t="s">
        <v>35</v>
      </c>
      <c r="C11" s="10" t="s">
        <v>36</v>
      </c>
      <c r="D11" s="9" t="n">
        <f aca="false">COUNTIF('Test Case Design &amp; Test Results'!$A$10:$A$189,B11)</f>
        <v>5</v>
      </c>
      <c r="E11" s="9" t="n">
        <f aca="false">COUNTIFS('Test Case Design &amp; Test Results'!$A$10:$A$189,B11,'Test Case Design &amp; Test Results'!$G$10:$G$189,"Pass")</f>
        <v>5</v>
      </c>
      <c r="F11" s="9" t="n">
        <f aca="false">COUNTIFS('Test Case Design &amp; Test Results'!$A$10:$A$189,B11,'Test Case Design &amp; Test Results'!$G$10:$G$189,"Fail")</f>
        <v>0</v>
      </c>
      <c r="G11" s="9" t="n">
        <f aca="false">COUNTIFS('Test Case Design &amp; Test Results'!$A$10:$A$189,B11,'Test Case Design &amp; Test Results'!$G$10:$G$189,"No run")</f>
        <v>0</v>
      </c>
      <c r="H11" s="9" t="n">
        <f aca="false">COUNTIFS('Test Case Design &amp; Test Results'!$A$10:$A$189,B11,'Test Case Design &amp; Test Results'!$G$10:$G$189,"Block")</f>
        <v>0</v>
      </c>
      <c r="I11" s="10" t="s">
        <v>33</v>
      </c>
    </row>
    <row r="12" customFormat="false" ht="38.8" hidden="false" customHeight="false" outlineLevel="0" collapsed="false">
      <c r="A12" s="9" t="s">
        <v>37</v>
      </c>
      <c r="B12" s="9" t="s">
        <v>38</v>
      </c>
      <c r="C12" s="10" t="s">
        <v>39</v>
      </c>
      <c r="D12" s="9" t="n">
        <f aca="false">COUNTIF('Test Case Design &amp; Test Results'!$A$10:$A$189,B12)</f>
        <v>109</v>
      </c>
      <c r="E12" s="9" t="n">
        <f aca="false">COUNTIFS('Test Case Design &amp; Test Results'!$A$10:$A$189,B12,'Test Case Design &amp; Test Results'!$G$10:$G$189,"Pass")</f>
        <v>109</v>
      </c>
      <c r="F12" s="9" t="n">
        <f aca="false">COUNTIFS('Test Case Design &amp; Test Results'!$A$10:$A$189,B12,'Test Case Design &amp; Test Results'!$G$10:$G$189,"Fail")</f>
        <v>0</v>
      </c>
      <c r="G12" s="9" t="n">
        <f aca="false">COUNTIFS('Test Case Design &amp; Test Results'!$A$10:$A$189,B12,'Test Case Design &amp; Test Results'!$G$10:$G$189,"No run")</f>
        <v>0</v>
      </c>
      <c r="H12" s="9" t="n">
        <f aca="false">COUNTIFS('Test Case Design &amp; Test Results'!$A$10:$A$189,B12,'Test Case Design &amp; Test Results'!$G$10:$G$189,"Block")</f>
        <v>0</v>
      </c>
      <c r="I12" s="10" t="s">
        <v>40</v>
      </c>
    </row>
    <row r="13" customFormat="false" ht="38.8" hidden="false" customHeight="false" outlineLevel="0" collapsed="false">
      <c r="A13" s="9" t="s">
        <v>37</v>
      </c>
      <c r="B13" s="9" t="s">
        <v>41</v>
      </c>
      <c r="C13" s="10" t="s">
        <v>42</v>
      </c>
      <c r="D13" s="9" t="n">
        <f aca="false">COUNTIF('Test Case Design &amp; Test Results'!$A$10:$A$189,B13)</f>
        <v>25</v>
      </c>
      <c r="E13" s="9" t="n">
        <f aca="false">COUNTIFS('Test Case Design &amp; Test Results'!$A$10:$A$189,B13,'Test Case Design &amp; Test Results'!$G$10:$G$189,"Pass")</f>
        <v>25</v>
      </c>
      <c r="F13" s="9" t="n">
        <f aca="false">COUNTIFS('Test Case Design &amp; Test Results'!$A$10:$A$189,B13,'Test Case Design &amp; Test Results'!$G$10:$G$189,"Fail")</f>
        <v>0</v>
      </c>
      <c r="G13" s="9" t="n">
        <f aca="false">COUNTIFS('Test Case Design &amp; Test Results'!$A$10:$A$189,B13,'Test Case Design &amp; Test Results'!$G$10:$G$189,"No run")</f>
        <v>0</v>
      </c>
      <c r="H13" s="9" t="n">
        <f aca="false">COUNTIFS('Test Case Design &amp; Test Results'!$A$10:$A$189,B13,'Test Case Design &amp; Test Results'!$G$10:$G$189,"Block")</f>
        <v>0</v>
      </c>
      <c r="I13" s="10" t="s">
        <v>43</v>
      </c>
    </row>
    <row r="14" customFormat="false" ht="38.8" hidden="false" customHeight="false" outlineLevel="0" collapsed="false">
      <c r="A14" s="9" t="s">
        <v>44</v>
      </c>
      <c r="B14" s="9" t="s">
        <v>45</v>
      </c>
      <c r="C14" s="10" t="s">
        <v>46</v>
      </c>
      <c r="D14" s="9" t="n">
        <f aca="false">COUNTIF('Test Case Design &amp; Test Results'!$A$10:$A$189,B14)</f>
        <v>6</v>
      </c>
      <c r="E14" s="9" t="n">
        <f aca="false">COUNTIFS('Test Case Design &amp; Test Results'!$A$10:$A$189,B14,'Test Case Design &amp; Test Results'!$G$10:$G$189,"Pass")</f>
        <v>6</v>
      </c>
      <c r="F14" s="9" t="n">
        <f aca="false">COUNTIFS('Test Case Design &amp; Test Results'!$A$10:$A$189,B14,'Test Case Design &amp; Test Results'!$G$10:$G$189,"Fail")</f>
        <v>0</v>
      </c>
      <c r="G14" s="9" t="n">
        <f aca="false">COUNTIFS('Test Case Design &amp; Test Results'!$A$10:$A$189,B14,'Test Case Design &amp; Test Results'!$G$10:$G$189,"No run")</f>
        <v>0</v>
      </c>
      <c r="H14" s="9" t="n">
        <f aca="false">COUNTIFS('Test Case Design &amp; Test Results'!$A$10:$A$189,B14,'Test Case Design &amp; Test Results'!$G$10:$G$189,"Block")</f>
        <v>0</v>
      </c>
      <c r="I14" s="10" t="s">
        <v>18</v>
      </c>
    </row>
    <row r="15" customFormat="false" ht="20.1" hidden="false" customHeight="false" outlineLevel="0" collapsed="false">
      <c r="A15" s="4" t="s">
        <v>47</v>
      </c>
      <c r="B15" s="4"/>
      <c r="C15" s="4"/>
      <c r="D15" s="11" t="n">
        <f aca="false">SUM(D6:D14)</f>
        <v>180</v>
      </c>
      <c r="E15" s="11" t="n">
        <f aca="false">SUM(E6:E14)</f>
        <v>180</v>
      </c>
      <c r="F15" s="11" t="n">
        <f aca="false">SUM(F6:F14)</f>
        <v>0</v>
      </c>
      <c r="G15" s="11" t="n">
        <f aca="false">SUM(G6:G14)</f>
        <v>0</v>
      </c>
      <c r="H15" s="11" t="n">
        <f aca="false">SUM(H6:H14)</f>
        <v>0</v>
      </c>
      <c r="I15" s="12" t="s">
        <v>48</v>
      </c>
    </row>
  </sheetData>
  <mergeCells count="1"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3"/>
    <col collapsed="false" customWidth="true" hidden="false" outlineLevel="0" max="2" min="2" style="0" width="13.5"/>
    <col collapsed="false" customWidth="true" hidden="false" outlineLevel="0" max="3" min="3" style="0" width="40"/>
    <col collapsed="false" customWidth="true" hidden="false" outlineLevel="0" max="4" min="4" style="0" width="14.51"/>
    <col collapsed="false" customWidth="true" hidden="false" outlineLevel="0" max="5" min="5" style="0" width="11.5"/>
    <col collapsed="false" customWidth="true" hidden="false" outlineLevel="0" max="6" min="6" style="0" width="18"/>
    <col collapsed="false" customWidth="true" hidden="false" outlineLevel="0" max="7" min="7" style="0" width="15.3"/>
    <col collapsed="false" customWidth="true" hidden="false" outlineLevel="0" max="8" min="8" style="0" width="16.3"/>
    <col collapsed="false" customWidth="true" hidden="false" outlineLevel="0" max="9" min="9" style="0" width="17.8"/>
    <col collapsed="false" customWidth="true" hidden="false" outlineLevel="0" max="10" min="10" style="0" width="16.3"/>
    <col collapsed="false" customWidth="true" hidden="false" outlineLevel="0" max="11" min="11" style="0" width="60"/>
  </cols>
  <sheetData>
    <row r="2" customFormat="false" ht="38.8" hidden="false" customHeight="false" outlineLevel="0" collapsed="false">
      <c r="A2" s="13" t="s">
        <v>49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54</v>
      </c>
      <c r="G2" s="13" t="s">
        <v>55</v>
      </c>
      <c r="H2" s="13" t="s">
        <v>56</v>
      </c>
      <c r="I2" s="13" t="s">
        <v>57</v>
      </c>
      <c r="J2" s="13" t="s">
        <v>58</v>
      </c>
      <c r="K2" s="13" t="s">
        <v>59</v>
      </c>
    </row>
    <row r="3" customFormat="false" ht="94.75" hidden="false" customHeight="false" outlineLevel="0" collapsed="false">
      <c r="A3" s="9" t="n">
        <v>1</v>
      </c>
      <c r="B3" s="9" t="s">
        <v>43</v>
      </c>
      <c r="C3" s="10" t="s">
        <v>60</v>
      </c>
      <c r="D3" s="9" t="s">
        <v>61</v>
      </c>
      <c r="E3" s="9" t="s">
        <v>61</v>
      </c>
      <c r="F3" s="14" t="s">
        <v>62</v>
      </c>
      <c r="G3" s="9" t="s">
        <v>63</v>
      </c>
      <c r="H3" s="9" t="s">
        <v>64</v>
      </c>
      <c r="I3" s="9" t="s">
        <v>64</v>
      </c>
      <c r="J3" s="14" t="s">
        <v>3</v>
      </c>
      <c r="K3" s="14" t="s">
        <v>65</v>
      </c>
    </row>
    <row r="4" customFormat="false" ht="54.45" hidden="false" customHeight="false" outlineLevel="0" collapsed="false">
      <c r="A4" s="9" t="n">
        <v>2</v>
      </c>
      <c r="B4" s="9" t="s">
        <v>66</v>
      </c>
      <c r="C4" s="10" t="s">
        <v>67</v>
      </c>
      <c r="D4" s="9" t="s">
        <v>61</v>
      </c>
      <c r="E4" s="9" t="s">
        <v>61</v>
      </c>
      <c r="F4" s="14" t="s">
        <v>62</v>
      </c>
      <c r="G4" s="9" t="s">
        <v>63</v>
      </c>
      <c r="H4" s="9" t="s">
        <v>68</v>
      </c>
      <c r="I4" s="9" t="s">
        <v>68</v>
      </c>
      <c r="J4" s="14" t="s">
        <v>3</v>
      </c>
      <c r="K4" s="14" t="s">
        <v>69</v>
      </c>
    </row>
    <row r="5" customFormat="false" ht="76.1" hidden="false" customHeight="false" outlineLevel="0" collapsed="false">
      <c r="A5" s="9" t="n">
        <v>3</v>
      </c>
      <c r="B5" s="9" t="s">
        <v>70</v>
      </c>
      <c r="C5" s="14" t="s">
        <v>71</v>
      </c>
      <c r="D5" s="9" t="s">
        <v>61</v>
      </c>
      <c r="E5" s="9" t="s">
        <v>61</v>
      </c>
      <c r="F5" s="14" t="s">
        <v>62</v>
      </c>
      <c r="G5" s="9" t="s">
        <v>63</v>
      </c>
      <c r="H5" s="9" t="s">
        <v>64</v>
      </c>
      <c r="I5" s="9" t="s">
        <v>72</v>
      </c>
      <c r="J5" s="14" t="s">
        <v>3</v>
      </c>
      <c r="K5" s="10" t="s">
        <v>73</v>
      </c>
    </row>
    <row r="6" customFormat="false" ht="94.75" hidden="false" customHeight="false" outlineLevel="0" collapsed="false">
      <c r="A6" s="9" t="n">
        <v>4</v>
      </c>
      <c r="B6" s="9" t="s">
        <v>18</v>
      </c>
      <c r="C6" s="14" t="s">
        <v>74</v>
      </c>
      <c r="D6" s="9" t="s">
        <v>61</v>
      </c>
      <c r="E6" s="9" t="s">
        <v>61</v>
      </c>
      <c r="F6" s="14" t="s">
        <v>62</v>
      </c>
      <c r="G6" s="9" t="s">
        <v>63</v>
      </c>
      <c r="H6" s="9" t="s">
        <v>64</v>
      </c>
      <c r="I6" s="9" t="s">
        <v>72</v>
      </c>
      <c r="J6" s="14" t="s">
        <v>3</v>
      </c>
      <c r="K6" s="10" t="s">
        <v>75</v>
      </c>
    </row>
    <row r="7" customFormat="false" ht="76.1" hidden="false" customHeight="false" outlineLevel="0" collapsed="false">
      <c r="A7" s="9" t="n">
        <v>5</v>
      </c>
      <c r="B7" s="9" t="s">
        <v>29</v>
      </c>
      <c r="C7" s="10" t="s">
        <v>76</v>
      </c>
      <c r="D7" s="9" t="s">
        <v>61</v>
      </c>
      <c r="E7" s="9" t="s">
        <v>61</v>
      </c>
      <c r="F7" s="14" t="s">
        <v>62</v>
      </c>
      <c r="G7" s="9" t="s">
        <v>63</v>
      </c>
      <c r="H7" s="9" t="s">
        <v>72</v>
      </c>
      <c r="I7" s="9" t="s">
        <v>72</v>
      </c>
      <c r="J7" s="14" t="s">
        <v>3</v>
      </c>
      <c r="K7" s="10" t="s">
        <v>77</v>
      </c>
    </row>
    <row r="8" customFormat="false" ht="73.1" hidden="false" customHeight="false" outlineLevel="0" collapsed="false">
      <c r="A8" s="9" t="n">
        <v>6</v>
      </c>
      <c r="B8" s="9" t="s">
        <v>78</v>
      </c>
      <c r="C8" s="14" t="s">
        <v>79</v>
      </c>
      <c r="D8" s="9" t="s">
        <v>61</v>
      </c>
      <c r="E8" s="9" t="s">
        <v>61</v>
      </c>
      <c r="F8" s="14" t="s">
        <v>62</v>
      </c>
      <c r="G8" s="9" t="s">
        <v>63</v>
      </c>
      <c r="H8" s="9" t="s">
        <v>72</v>
      </c>
      <c r="I8" s="9" t="s">
        <v>72</v>
      </c>
      <c r="J8" s="14" t="s">
        <v>3</v>
      </c>
      <c r="K8" s="1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7"/>
    <col collapsed="false" customWidth="true" hidden="false" outlineLevel="0" max="6" min="3" style="0" width="9"/>
    <col collapsed="false" customWidth="true" hidden="false" outlineLevel="0" max="7" min="7" style="0" width="44"/>
  </cols>
  <sheetData>
    <row r="2" customFormat="false" ht="66.4" hidden="false" customHeight="false" outlineLevel="0" collapsed="false">
      <c r="A2" s="15" t="s">
        <v>81</v>
      </c>
      <c r="B2" s="15" t="s">
        <v>9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</row>
    <row r="3" customFormat="false" ht="44.75" hidden="false" customHeight="false" outlineLevel="0" collapsed="false">
      <c r="A3" s="16" t="s">
        <v>82</v>
      </c>
      <c r="B3" s="17" t="n">
        <f aca="false">COUNTIF('Test Case Design &amp; Test Results'!$B$10:$B$189,"TC-BVR-N??")</f>
        <v>9</v>
      </c>
      <c r="C3" s="17" t="n">
        <f aca="false">COUNTIFS('Test Case Design &amp; Test Results'!$B$10:$B$189,"TC-BVR-N??",'Test Case Design &amp; Test Results'!$G$10:$G$189,"Pass")</f>
        <v>9</v>
      </c>
      <c r="D3" s="17" t="n">
        <f aca="false">COUNTIFS('Test Case Design &amp; Test Results'!$B$10:$B$189,"TC-BVR-N??",'Test Case Design &amp; Test Results'!$G$10:$G$189,"Fail")</f>
        <v>0</v>
      </c>
      <c r="E3" s="17" t="n">
        <f aca="false">COUNTIFS('Test Case Design &amp; Test Results'!$B$10:$B$189,"TC-BVR-N??",'Test Case Design &amp; Test Results'!$G$10:$G$189,"No run")</f>
        <v>0</v>
      </c>
      <c r="F3" s="17" t="n">
        <f aca="false">COUNTIFS('Test Case Design &amp; Test Results'!$B$10:$B$189,"TC-BVR-N??",'Test Case Design &amp; Test Results'!$G$10:$G$189,"Block")</f>
        <v>0</v>
      </c>
      <c r="G3" s="17" t="s">
        <v>83</v>
      </c>
    </row>
    <row r="4" customFormat="false" ht="23.1" hidden="false" customHeight="false" outlineLevel="0" collapsed="false">
      <c r="A4" s="16" t="s">
        <v>84</v>
      </c>
      <c r="B4" s="17" t="n">
        <f aca="false">COUNTIF('Test Case Design &amp; Test Results'!$B$10:$B$189,"TC-BVR-R??")</f>
        <v>12</v>
      </c>
      <c r="C4" s="17" t="n">
        <f aca="false">COUNTIFS('Test Case Design &amp; Test Results'!$B$10:$B$189,"TC-BVR-R??",'Test Case Design &amp; Test Results'!$G$10:$G$189,"Pass")</f>
        <v>12</v>
      </c>
      <c r="D4" s="17" t="n">
        <f aca="false">COUNTIFS('Test Case Design &amp; Test Results'!$B$10:$B$189,"TC-BVR-R??",'Test Case Design &amp; Test Results'!$G$10:$G$189,"Fail")</f>
        <v>0</v>
      </c>
      <c r="E4" s="17" t="n">
        <f aca="false">COUNTIFS('Test Case Design &amp; Test Results'!$B$10:$B$189,"TC-BVR-R??",'Test Case Design &amp; Test Results'!$G$10:$G$189,"No run")</f>
        <v>0</v>
      </c>
      <c r="F4" s="17" t="n">
        <f aca="false">COUNTIFS('Test Case Design &amp; Test Results'!$B$10:$B$189,"TC-BVR-R??",'Test Case Design &amp; Test Results'!$G$10:$G$189,"Block")</f>
        <v>0</v>
      </c>
      <c r="G4" s="17" t="s">
        <v>85</v>
      </c>
    </row>
    <row r="5" customFormat="false" ht="23.1" hidden="false" customHeight="false" outlineLevel="0" collapsed="false">
      <c r="A5" s="16" t="s">
        <v>86</v>
      </c>
      <c r="B5" s="17" t="n">
        <f aca="false">COUNTIF('Test Case Design &amp; Test Results'!$B$10:$B$189,"TC-BVR-W??")</f>
        <v>25</v>
      </c>
      <c r="C5" s="17" t="n">
        <f aca="false">COUNTIFS('Test Case Design &amp; Test Results'!$B$10:$B$189,"TC-BVR-W??",'Test Case Design &amp; Test Results'!$G$10:$G$189,"Pass")</f>
        <v>25</v>
      </c>
      <c r="D5" s="17" t="n">
        <f aca="false">COUNTIFS('Test Case Design &amp; Test Results'!$B$10:$B$189,"TC-BVR-W??",'Test Case Design &amp; Test Results'!$G$10:$G$189,"Fail")</f>
        <v>0</v>
      </c>
      <c r="E5" s="17" t="n">
        <f aca="false">COUNTIFS('Test Case Design &amp; Test Results'!$B$10:$B$189,"TC-BVR-W??",'Test Case Design &amp; Test Results'!$G$10:$G$189,"No run")</f>
        <v>0</v>
      </c>
      <c r="F5" s="17" t="n">
        <f aca="false">COUNTIFS('Test Case Design &amp; Test Results'!$B$10:$B$189,"TC-BVR-W??",'Test Case Design &amp; Test Results'!$G$10:$G$189,"Block")</f>
        <v>0</v>
      </c>
      <c r="G5" s="17" t="s">
        <v>87</v>
      </c>
    </row>
    <row r="6" customFormat="false" ht="44.75" hidden="false" customHeight="false" outlineLevel="0" collapsed="false">
      <c r="A6" s="16" t="s">
        <v>88</v>
      </c>
      <c r="B6" s="17" t="n">
        <f aca="false">COUNTIF('Test Case Design &amp; Test Results'!$B$10:$B$189,"TC-BVR-RW??")</f>
        <v>42</v>
      </c>
      <c r="C6" s="17" t="n">
        <f aca="false">COUNTIFS('Test Case Design &amp; Test Results'!$B$10:$B$189,"TC-BVR-RW??",'Test Case Design &amp; Test Results'!$G$10:$G$189,"Pass")</f>
        <v>42</v>
      </c>
      <c r="D6" s="17" t="n">
        <f aca="false">COUNTIFS('Test Case Design &amp; Test Results'!$B$10:$B$189,"TC-BVR-RW??",'Test Case Design &amp; Test Results'!$G$10:$G$189,"Fail")</f>
        <v>0</v>
      </c>
      <c r="E6" s="17" t="n">
        <f aca="false">COUNTIFS('Test Case Design &amp; Test Results'!$B$10:$B$189,"TC-BVR-RW??",'Test Case Design &amp; Test Results'!$G$10:$G$189,"No run")</f>
        <v>0</v>
      </c>
      <c r="F6" s="17" t="n">
        <f aca="false">COUNTIFS('Test Case Design &amp; Test Results'!$B$10:$B$189,"TC-BVR-RW??",'Test Case Design &amp; Test Results'!$G$10:$G$189,"Block")</f>
        <v>0</v>
      </c>
      <c r="G6" s="17" t="s">
        <v>89</v>
      </c>
    </row>
    <row r="7" customFormat="false" ht="44.75" hidden="false" customHeight="false" outlineLevel="0" collapsed="false">
      <c r="A7" s="16" t="s">
        <v>90</v>
      </c>
      <c r="B7" s="17" t="n">
        <f aca="false">COUNTIF('Test Case Design &amp; Test Results'!$B$10:$B$189,"TC-BVE-N??")</f>
        <v>9</v>
      </c>
      <c r="C7" s="17" t="n">
        <f aca="false">COUNTIFS('Test Case Design &amp; Test Results'!$B$10:$B$189,"TC-BVE-N??",'Test Case Design &amp; Test Results'!$G$10:$G$189,"Pass")</f>
        <v>9</v>
      </c>
      <c r="D7" s="17" t="n">
        <f aca="false">COUNTIFS('Test Case Design &amp; Test Results'!$B$10:$B$189,"TC-BVE-N??",'Test Case Design &amp; Test Results'!$G$10:$G$189,"Fail")</f>
        <v>0</v>
      </c>
      <c r="E7" s="17" t="n">
        <f aca="false">COUNTIFS('Test Case Design &amp; Test Results'!$B$10:$B$189,"TC-BVE-N??",'Test Case Design &amp; Test Results'!$G$10:$G$189,"No run")</f>
        <v>0</v>
      </c>
      <c r="F7" s="17" t="n">
        <f aca="false">COUNTIFS('Test Case Design &amp; Test Results'!$B$10:$B$189,"TC-BVE-N??",'Test Case Design &amp; Test Results'!$G$10:$G$189,"Block")</f>
        <v>0</v>
      </c>
      <c r="G7" s="17" t="s">
        <v>83</v>
      </c>
    </row>
    <row r="8" customFormat="false" ht="23.1" hidden="false" customHeight="false" outlineLevel="0" collapsed="false">
      <c r="A8" s="16" t="s">
        <v>91</v>
      </c>
      <c r="B8" s="17" t="n">
        <f aca="false">COUNTIF('Test Case Design &amp; Test Results'!$B$10:$B$189,"TC-BVE-R??")</f>
        <v>12</v>
      </c>
      <c r="C8" s="17" t="n">
        <f aca="false">COUNTIFS('Test Case Design &amp; Test Results'!$B$10:$B$189,"TC-BVE-R??",'Test Case Design &amp; Test Results'!$G$10:$G$189,"Pass")</f>
        <v>12</v>
      </c>
      <c r="D8" s="17" t="n">
        <f aca="false">COUNTIFS('Test Case Design &amp; Test Results'!$B$10:$B$189,"TC-BVE-R??",'Test Case Design &amp; Test Results'!$G$10:$G$189,"Fail")</f>
        <v>0</v>
      </c>
      <c r="E8" s="17" t="n">
        <f aca="false">COUNTIFS('Test Case Design &amp; Test Results'!$B$10:$B$189,"TC-BVE-R??",'Test Case Design &amp; Test Results'!$G$10:$G$189,"No run")</f>
        <v>0</v>
      </c>
      <c r="F8" s="17" t="n">
        <f aca="false">COUNTIFS('Test Case Design &amp; Test Results'!$B$10:$B$189,"TC-BVE-R??",'Test Case Design &amp; Test Results'!$G$10:$G$189,"Block")</f>
        <v>0</v>
      </c>
      <c r="G8" s="17" t="s">
        <v>92</v>
      </c>
    </row>
    <row r="9" customFormat="false" ht="23.1" hidden="false" customHeight="false" outlineLevel="0" collapsed="false">
      <c r="A9" s="18" t="s">
        <v>47</v>
      </c>
      <c r="B9" s="19" t="n">
        <f aca="false">SUM(B3:B8)</f>
        <v>109</v>
      </c>
      <c r="C9" s="19" t="n">
        <f aca="false">SUM(C3:C8)</f>
        <v>109</v>
      </c>
      <c r="D9" s="19" t="n">
        <f aca="false">SUM(D3:D8)</f>
        <v>0</v>
      </c>
      <c r="E9" s="19" t="n">
        <f aca="false">SUM(E3:E8)</f>
        <v>0</v>
      </c>
      <c r="F9" s="19" t="n">
        <f aca="false">SUM(F3:F8)</f>
        <v>0</v>
      </c>
      <c r="G9" s="20"/>
    </row>
    <row r="11" customFormat="false" ht="20.1" hidden="false" customHeight="false" outlineLevel="0" collapsed="false">
      <c r="A11" s="2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97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0</v>
      </c>
    </row>
    <row r="3" customFormat="false" ht="30" hidden="false" customHeight="true" outlineLevel="0" collapsed="false">
      <c r="A3" s="1" t="s">
        <v>99</v>
      </c>
      <c r="B3" s="24" t="s">
        <v>100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1</v>
      </c>
    </row>
    <row r="4" customFormat="false" ht="30" hidden="false" customHeight="true" outlineLevel="0" collapsed="false">
      <c r="A4" s="1" t="s">
        <v>103</v>
      </c>
      <c r="B4" s="24" t="s">
        <v>104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2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10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97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7.3" hidden="false" customHeight="false" outlineLevel="0" collapsed="false">
      <c r="A9" s="9" t="s">
        <v>121</v>
      </c>
      <c r="B9" s="9" t="s">
        <v>122</v>
      </c>
      <c r="C9" s="9" t="s">
        <v>123</v>
      </c>
      <c r="D9" s="26" t="s">
        <v>124</v>
      </c>
      <c r="E9" s="9" t="str">
        <f aca="false">IFERROR(INDEX('Test Case Design &amp; Test Results'!$F$10:$F$189,MATCH(A9,'Test Case Design &amp; Test Results'!$B$10:$B$189,0))&amp;"","")</f>
        <v>ผ่าน validation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127</v>
      </c>
    </row>
    <row r="10" customFormat="false" ht="20.1" hidden="false" customHeight="false" outlineLevel="0" collapsed="false">
      <c r="A10" s="9" t="s">
        <v>128</v>
      </c>
      <c r="B10" s="9" t="s">
        <v>129</v>
      </c>
      <c r="C10" s="9" t="s">
        <v>123</v>
      </c>
      <c r="D10" s="26" t="s">
        <v>124</v>
      </c>
      <c r="E10" s="9" t="str">
        <f aca="false">IFERROR(INDEX('Test Case Design &amp; Test Results'!$F$10:$F$189,MATCH(A10,'Test Case Design &amp; Test Results'!$B$10:$B$189,0))&amp;"","")</f>
        <v>ผ่าน validation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20.1" hidden="false" customHeight="false" outlineLevel="0" collapsed="false">
      <c r="A11" s="9" t="s">
        <v>130</v>
      </c>
      <c r="B11" s="9" t="s">
        <v>131</v>
      </c>
      <c r="C11" s="9" t="s">
        <v>123</v>
      </c>
      <c r="D11" s="26" t="s">
        <v>124</v>
      </c>
      <c r="E11" s="9" t="str">
        <f aca="false">IFERROR(INDEX('Test Case Design &amp; Test Results'!$F$10:$F$189,MATCH(A11,'Test Case Design &amp; Test Results'!$B$10:$B$189,0))&amp;"","")</f>
        <v>ผ่าน validation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20.1" hidden="false" customHeight="false" outlineLevel="0" collapsed="false">
      <c r="A12" s="9" t="s">
        <v>132</v>
      </c>
      <c r="B12" s="9" t="s">
        <v>133</v>
      </c>
      <c r="C12" s="9" t="s">
        <v>123</v>
      </c>
      <c r="D12" s="26" t="s">
        <v>124</v>
      </c>
      <c r="E12" s="9" t="str">
        <f aca="false">IFERROR(INDEX('Test Case Design &amp; Test Results'!$F$10:$F$189,MATCH(A12,'Test Case Design &amp; Test Results'!$B$10:$B$189,0))&amp;"","")</f>
        <v>ผ่าน validation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20.1" hidden="false" customHeight="false" outlineLevel="0" collapsed="false">
      <c r="A13" s="9" t="s">
        <v>134</v>
      </c>
      <c r="B13" s="9" t="s">
        <v>135</v>
      </c>
      <c r="C13" s="9" t="s">
        <v>123</v>
      </c>
      <c r="D13" s="26" t="s">
        <v>124</v>
      </c>
      <c r="E13" s="9" t="str">
        <f aca="false">IFERROR(INDEX('Test Case Design &amp; Test Results'!$F$10:$F$189,MATCH(A13,'Test Case Design &amp; Test Results'!$B$10:$B$189,0))&amp;"","")</f>
        <v>ผ่าน validation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20.1" hidden="false" customHeight="false" outlineLevel="0" collapsed="false">
      <c r="A14" s="9" t="s">
        <v>136</v>
      </c>
      <c r="B14" s="9" t="s">
        <v>122</v>
      </c>
      <c r="C14" s="9" t="s">
        <v>129</v>
      </c>
      <c r="D14" s="26" t="s">
        <v>124</v>
      </c>
      <c r="E14" s="9" t="str">
        <f aca="false">IFERROR(INDEX('Test Case Design &amp; Test Results'!$F$10:$F$189,MATCH(A14,'Test Case Design &amp; Test Results'!$B$10:$B$189,0))&amp;"","")</f>
        <v>ผ่าน validation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20.1" hidden="false" customHeight="false" outlineLevel="0" collapsed="false">
      <c r="A15" s="9" t="s">
        <v>137</v>
      </c>
      <c r="B15" s="9" t="s">
        <v>122</v>
      </c>
      <c r="C15" s="9" t="s">
        <v>131</v>
      </c>
      <c r="D15" s="26" t="s">
        <v>124</v>
      </c>
      <c r="E15" s="9" t="str">
        <f aca="false">IFERROR(INDEX('Test Case Design &amp; Test Results'!$F$10:$F$189,MATCH(A15,'Test Case Design &amp; Test Results'!$B$10:$B$189,0))&amp;"","")</f>
        <v>ผ่าน validation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38.8" hidden="false" customHeight="false" outlineLevel="0" collapsed="false">
      <c r="A16" s="9" t="s">
        <v>138</v>
      </c>
      <c r="B16" s="9" t="s">
        <v>122</v>
      </c>
      <c r="C16" s="9" t="s">
        <v>139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38.8" hidden="false" customHeight="false" outlineLevel="0" collapsed="false">
      <c r="A17" s="9" t="s">
        <v>140</v>
      </c>
      <c r="B17" s="9" t="s">
        <v>122</v>
      </c>
      <c r="C17" s="9" t="s">
        <v>141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97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0</v>
      </c>
    </row>
    <row r="3" customFormat="false" ht="30" hidden="false" customHeight="true" outlineLevel="0" collapsed="false">
      <c r="A3" s="1" t="s">
        <v>99</v>
      </c>
      <c r="B3" s="24" t="s">
        <v>100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1</v>
      </c>
    </row>
    <row r="4" customFormat="false" ht="30" hidden="false" customHeight="true" outlineLevel="0" collapsed="false">
      <c r="A4" s="1" t="s">
        <v>103</v>
      </c>
      <c r="B4" s="24" t="s">
        <v>142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2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10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97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7.3" hidden="false" customHeight="false" outlineLevel="0" collapsed="false">
      <c r="A9" s="9" t="s">
        <v>143</v>
      </c>
      <c r="B9" s="9" t="s">
        <v>122</v>
      </c>
      <c r="C9" s="9" t="s">
        <v>123</v>
      </c>
      <c r="D9" s="26" t="s">
        <v>124</v>
      </c>
      <c r="E9" s="9" t="str">
        <f aca="false">IFERROR(INDEX('Test Case Design &amp; Test Results'!$F$10:$F$189,MATCH(A9,'Test Case Design &amp; Test Results'!$B$10:$B$189,0))&amp;"","")</f>
        <v>ผ่าน validation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127</v>
      </c>
    </row>
    <row r="10" customFormat="false" ht="20.1" hidden="false" customHeight="false" outlineLevel="0" collapsed="false">
      <c r="A10" s="9" t="s">
        <v>144</v>
      </c>
      <c r="B10" s="9" t="s">
        <v>129</v>
      </c>
      <c r="C10" s="9" t="s">
        <v>123</v>
      </c>
      <c r="D10" s="26" t="s">
        <v>124</v>
      </c>
      <c r="E10" s="9" t="str">
        <f aca="false">IFERROR(INDEX('Test Case Design &amp; Test Results'!$F$10:$F$189,MATCH(A10,'Test Case Design &amp; Test Results'!$B$10:$B$189,0))&amp;"","")</f>
        <v>ผ่าน validation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20.1" hidden="false" customHeight="false" outlineLevel="0" collapsed="false">
      <c r="A11" s="9" t="s">
        <v>145</v>
      </c>
      <c r="B11" s="9" t="s">
        <v>131</v>
      </c>
      <c r="C11" s="9" t="s">
        <v>123</v>
      </c>
      <c r="D11" s="26" t="s">
        <v>124</v>
      </c>
      <c r="E11" s="9" t="str">
        <f aca="false">IFERROR(INDEX('Test Case Design &amp; Test Results'!$F$10:$F$189,MATCH(A11,'Test Case Design &amp; Test Results'!$B$10:$B$189,0))&amp;"","")</f>
        <v>ผ่าน validation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20.1" hidden="false" customHeight="false" outlineLevel="0" collapsed="false">
      <c r="A12" s="9" t="s">
        <v>146</v>
      </c>
      <c r="B12" s="9" t="s">
        <v>133</v>
      </c>
      <c r="C12" s="9" t="s">
        <v>123</v>
      </c>
      <c r="D12" s="26" t="s">
        <v>124</v>
      </c>
      <c r="E12" s="9" t="str">
        <f aca="false">IFERROR(INDEX('Test Case Design &amp; Test Results'!$F$10:$F$189,MATCH(A12,'Test Case Design &amp; Test Results'!$B$10:$B$189,0))&amp;"","")</f>
        <v>ผ่าน validation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20.1" hidden="false" customHeight="false" outlineLevel="0" collapsed="false">
      <c r="A13" s="9" t="s">
        <v>147</v>
      </c>
      <c r="B13" s="9" t="s">
        <v>135</v>
      </c>
      <c r="C13" s="9" t="s">
        <v>123</v>
      </c>
      <c r="D13" s="26" t="s">
        <v>124</v>
      </c>
      <c r="E13" s="9" t="str">
        <f aca="false">IFERROR(INDEX('Test Case Design &amp; Test Results'!$F$10:$F$189,MATCH(A13,'Test Case Design &amp; Test Results'!$B$10:$B$189,0))&amp;"","")</f>
        <v>ผ่าน validation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20.1" hidden="false" customHeight="false" outlineLevel="0" collapsed="false">
      <c r="A14" s="9" t="s">
        <v>148</v>
      </c>
      <c r="B14" s="9" t="s">
        <v>122</v>
      </c>
      <c r="C14" s="9" t="s">
        <v>129</v>
      </c>
      <c r="D14" s="26" t="s">
        <v>124</v>
      </c>
      <c r="E14" s="9" t="str">
        <f aca="false">IFERROR(INDEX('Test Case Design &amp; Test Results'!$F$10:$F$189,MATCH(A14,'Test Case Design &amp; Test Results'!$B$10:$B$189,0))&amp;"","")</f>
        <v>ผ่าน validation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20.1" hidden="false" customHeight="false" outlineLevel="0" collapsed="false">
      <c r="A15" s="9" t="s">
        <v>149</v>
      </c>
      <c r="B15" s="9" t="s">
        <v>122</v>
      </c>
      <c r="C15" s="9" t="s">
        <v>131</v>
      </c>
      <c r="D15" s="26" t="s">
        <v>124</v>
      </c>
      <c r="E15" s="9" t="str">
        <f aca="false">IFERROR(INDEX('Test Case Design &amp; Test Results'!$F$10:$F$189,MATCH(A15,'Test Case Design &amp; Test Results'!$B$10:$B$189,0))&amp;"","")</f>
        <v>ผ่าน validation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38.8" hidden="false" customHeight="false" outlineLevel="0" collapsed="false">
      <c r="A16" s="9" t="s">
        <v>150</v>
      </c>
      <c r="B16" s="9" t="s">
        <v>122</v>
      </c>
      <c r="C16" s="9" t="s">
        <v>139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38.8" hidden="false" customHeight="false" outlineLevel="0" collapsed="false">
      <c r="A17" s="9" t="s">
        <v>151</v>
      </c>
      <c r="B17" s="9" t="s">
        <v>122</v>
      </c>
      <c r="C17" s="9" t="s">
        <v>141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  <row r="18" customFormat="false" ht="38.8" hidden="false" customHeight="false" outlineLevel="0" collapsed="false">
      <c r="A18" s="9" t="s">
        <v>152</v>
      </c>
      <c r="B18" s="9" t="s">
        <v>153</v>
      </c>
      <c r="C18" s="9" t="s">
        <v>123</v>
      </c>
      <c r="D18" s="26" t="s">
        <v>154</v>
      </c>
      <c r="E18" s="9" t="str">
        <f aca="false">IFERROR(INDEX('Test Case Design &amp; Test Results'!$F$10:$F$189,MATCH(A18,'Test Case Design &amp; Test Results'!$B$10:$B$189,0))&amp;"","")</f>
        <v>ไม่ผ่าน validation (name)</v>
      </c>
      <c r="F18" s="9" t="str">
        <f aca="false">IFERROR(INDEX('Test Case Design &amp; Test Results'!$G$10:$G$189,MATCH(A18,'Test Case Design &amp; Test Results'!$B$10:$B$189,0)),"")</f>
        <v>Pass</v>
      </c>
    </row>
    <row r="19" customFormat="false" ht="38.8" hidden="false" customHeight="false" outlineLevel="0" collapsed="false">
      <c r="A19" s="9" t="s">
        <v>155</v>
      </c>
      <c r="B19" s="9" t="s">
        <v>156</v>
      </c>
      <c r="C19" s="9" t="s">
        <v>123</v>
      </c>
      <c r="D19" s="26" t="s">
        <v>154</v>
      </c>
      <c r="E19" s="9" t="str">
        <f aca="false">IFERROR(INDEX('Test Case Design &amp; Test Results'!$F$10:$F$189,MATCH(A19,'Test Case Design &amp; Test Results'!$B$10:$B$189,0))&amp;"","")</f>
        <v>ไม่ผ่าน validation (name)</v>
      </c>
      <c r="F19" s="9" t="str">
        <f aca="false">IFERROR(INDEX('Test Case Design &amp; Test Results'!$G$10:$G$189,MATCH(A19,'Test Case Design &amp; Test Results'!$B$10:$B$189,0)),"")</f>
        <v>Pass</v>
      </c>
    </row>
    <row r="20" customFormat="false" ht="38.8" hidden="false" customHeight="false" outlineLevel="0" collapsed="false">
      <c r="A20" s="9" t="s">
        <v>157</v>
      </c>
      <c r="B20" s="9" t="s">
        <v>122</v>
      </c>
      <c r="C20" s="9" t="s">
        <v>153</v>
      </c>
      <c r="D20" s="26" t="s">
        <v>154</v>
      </c>
      <c r="E20" s="9" t="str">
        <f aca="false">IFERROR(INDEX('Test Case Design &amp; Test Results'!$F$10:$F$189,MATCH(A20,'Test Case Design &amp; Test Results'!$B$10:$B$189,0))&amp;"","")</f>
        <v>ไม่ผ่าน validation (capacity)</v>
      </c>
      <c r="F20" s="9" t="str">
        <f aca="false">IFERROR(INDEX('Test Case Design &amp; Test Results'!$G$10:$G$189,MATCH(A20,'Test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97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0</v>
      </c>
    </row>
    <row r="3" customFormat="false" ht="30" hidden="false" customHeight="true" outlineLevel="0" collapsed="false">
      <c r="A3" s="1" t="s">
        <v>99</v>
      </c>
      <c r="B3" s="24" t="s">
        <v>100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1</v>
      </c>
    </row>
    <row r="4" customFormat="false" ht="30" hidden="false" customHeight="true" outlineLevel="0" collapsed="false">
      <c r="A4" s="1" t="s">
        <v>103</v>
      </c>
      <c r="B4" s="24" t="s">
        <v>158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2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10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97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7.3" hidden="false" customHeight="false" outlineLevel="0" collapsed="false">
      <c r="A9" s="9" t="s">
        <v>159</v>
      </c>
      <c r="B9" s="9" t="s">
        <v>129</v>
      </c>
      <c r="C9" s="9" t="s">
        <v>129</v>
      </c>
      <c r="D9" s="26" t="s">
        <v>124</v>
      </c>
      <c r="E9" s="9" t="str">
        <f aca="false">IFERROR(INDEX('Test Case Design &amp; Test Results'!$F$10:$F$189,MATCH(A9,'Test Case Design &amp; Test Results'!$B$10:$B$189,0))&amp;"","")</f>
        <v>ผ่าน validation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127</v>
      </c>
    </row>
    <row r="10" customFormat="false" ht="20.1" hidden="false" customHeight="false" outlineLevel="0" collapsed="false">
      <c r="A10" s="9" t="s">
        <v>160</v>
      </c>
      <c r="B10" s="9" t="s">
        <v>129</v>
      </c>
      <c r="C10" s="9" t="s">
        <v>131</v>
      </c>
      <c r="D10" s="26" t="s">
        <v>124</v>
      </c>
      <c r="E10" s="9" t="str">
        <f aca="false">IFERROR(INDEX('Test Case Design &amp; Test Results'!$F$10:$F$189,MATCH(A10,'Test Case Design &amp; Test Results'!$B$10:$B$189,0))&amp;"","")</f>
        <v>ผ่าน validation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20.1" hidden="false" customHeight="false" outlineLevel="0" collapsed="false">
      <c r="A11" s="9" t="s">
        <v>161</v>
      </c>
      <c r="B11" s="9" t="s">
        <v>129</v>
      </c>
      <c r="C11" s="9" t="s">
        <v>123</v>
      </c>
      <c r="D11" s="26" t="s">
        <v>124</v>
      </c>
      <c r="E11" s="9" t="str">
        <f aca="false">IFERROR(INDEX('Test Case Design &amp; Test Results'!$F$10:$F$189,MATCH(A11,'Test Case Design &amp; Test Results'!$B$10:$B$189,0))&amp;"","")</f>
        <v>ผ่าน validation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38.8" hidden="false" customHeight="false" outlineLevel="0" collapsed="false">
      <c r="A12" s="9" t="s">
        <v>162</v>
      </c>
      <c r="B12" s="9" t="s">
        <v>129</v>
      </c>
      <c r="C12" s="9" t="s">
        <v>139</v>
      </c>
      <c r="D12" s="26" t="s">
        <v>124</v>
      </c>
      <c r="E12" s="9" t="str">
        <f aca="false">IFERROR(INDEX('Test Case Design &amp; Test Results'!$F$10:$F$189,MATCH(A12,'Test Case Design &amp; Test Results'!$B$10:$B$189,0))&amp;"","")</f>
        <v>ผ่าน validation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38.8" hidden="false" customHeight="false" outlineLevel="0" collapsed="false">
      <c r="A13" s="9" t="s">
        <v>163</v>
      </c>
      <c r="B13" s="9" t="s">
        <v>129</v>
      </c>
      <c r="C13" s="9" t="s">
        <v>141</v>
      </c>
      <c r="D13" s="26" t="s">
        <v>124</v>
      </c>
      <c r="E13" s="9" t="str">
        <f aca="false">IFERROR(INDEX('Test Case Design &amp; Test Results'!$F$10:$F$189,MATCH(A13,'Test Case Design &amp; Test Results'!$B$10:$B$189,0))&amp;"","")</f>
        <v>ผ่าน validation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20.1" hidden="false" customHeight="false" outlineLevel="0" collapsed="false">
      <c r="A14" s="9" t="s">
        <v>164</v>
      </c>
      <c r="B14" s="9" t="s">
        <v>131</v>
      </c>
      <c r="C14" s="9" t="s">
        <v>129</v>
      </c>
      <c r="D14" s="26" t="s">
        <v>124</v>
      </c>
      <c r="E14" s="9" t="str">
        <f aca="false">IFERROR(INDEX('Test Case Design &amp; Test Results'!$F$10:$F$189,MATCH(A14,'Test Case Design &amp; Test Results'!$B$10:$B$189,0))&amp;"","")</f>
        <v>ผ่าน validation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20.1" hidden="false" customHeight="false" outlineLevel="0" collapsed="false">
      <c r="A15" s="9" t="s">
        <v>165</v>
      </c>
      <c r="B15" s="9" t="s">
        <v>131</v>
      </c>
      <c r="C15" s="9" t="s">
        <v>131</v>
      </c>
      <c r="D15" s="26" t="s">
        <v>124</v>
      </c>
      <c r="E15" s="9" t="str">
        <f aca="false">IFERROR(INDEX('Test Case Design &amp; Test Results'!$F$10:$F$189,MATCH(A15,'Test Case Design &amp; Test Results'!$B$10:$B$189,0))&amp;"","")</f>
        <v>ผ่าน validation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20.1" hidden="false" customHeight="false" outlineLevel="0" collapsed="false">
      <c r="A16" s="9" t="s">
        <v>166</v>
      </c>
      <c r="B16" s="9" t="s">
        <v>131</v>
      </c>
      <c r="C16" s="9" t="s">
        <v>123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38.8" hidden="false" customHeight="false" outlineLevel="0" collapsed="false">
      <c r="A17" s="9" t="s">
        <v>167</v>
      </c>
      <c r="B17" s="9" t="s">
        <v>131</v>
      </c>
      <c r="C17" s="9" t="s">
        <v>139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  <row r="18" customFormat="false" ht="38.8" hidden="false" customHeight="false" outlineLevel="0" collapsed="false">
      <c r="A18" s="9" t="s">
        <v>168</v>
      </c>
      <c r="B18" s="9" t="s">
        <v>131</v>
      </c>
      <c r="C18" s="9" t="s">
        <v>141</v>
      </c>
      <c r="D18" s="26" t="s">
        <v>124</v>
      </c>
      <c r="E18" s="9" t="str">
        <f aca="false">IFERROR(INDEX('Test Case Design &amp; Test Results'!$F$10:$F$189,MATCH(A18,'Test Case Design &amp; Test Results'!$B$10:$B$189,0))&amp;"","")</f>
        <v>ผ่าน validation</v>
      </c>
      <c r="F18" s="9" t="str">
        <f aca="false">IFERROR(INDEX('Test Case Design &amp; Test Results'!$G$10:$G$189,MATCH(A18,'Test Case Design &amp; Test Results'!$B$10:$B$189,0)),"")</f>
        <v>Pass</v>
      </c>
    </row>
    <row r="19" customFormat="false" ht="20.1" hidden="false" customHeight="false" outlineLevel="0" collapsed="false">
      <c r="A19" s="9" t="s">
        <v>169</v>
      </c>
      <c r="B19" s="9" t="s">
        <v>122</v>
      </c>
      <c r="C19" s="9" t="s">
        <v>129</v>
      </c>
      <c r="D19" s="26" t="s">
        <v>124</v>
      </c>
      <c r="E19" s="9" t="str">
        <f aca="false">IFERROR(INDEX('Test Case Design &amp; Test Results'!$F$10:$F$189,MATCH(A19,'Test Case Design &amp; Test Results'!$B$10:$B$189,0))&amp;"","")</f>
        <v>ผ่าน validation</v>
      </c>
      <c r="F19" s="9" t="str">
        <f aca="false">IFERROR(INDEX('Test Case Design &amp; Test Results'!$G$10:$G$189,MATCH(A19,'Test Case Design &amp; Test Results'!$B$10:$B$189,0)),"")</f>
        <v>Pass</v>
      </c>
    </row>
    <row r="20" customFormat="false" ht="20.1" hidden="false" customHeight="false" outlineLevel="0" collapsed="false">
      <c r="A20" s="9" t="s">
        <v>170</v>
      </c>
      <c r="B20" s="9" t="s">
        <v>122</v>
      </c>
      <c r="C20" s="9" t="s">
        <v>131</v>
      </c>
      <c r="D20" s="26" t="s">
        <v>124</v>
      </c>
      <c r="E20" s="9" t="str">
        <f aca="false">IFERROR(INDEX('Test Case Design &amp; Test Results'!$F$10:$F$189,MATCH(A20,'Test Case Design &amp; Test Results'!$B$10:$B$189,0))&amp;"","")</f>
        <v>ผ่าน validation</v>
      </c>
      <c r="F20" s="9" t="str">
        <f aca="false">IFERROR(INDEX('Test Case Design &amp; Test Results'!$G$10:$G$189,MATCH(A20,'Test Case Design &amp; Test Results'!$B$10:$B$189,0)),"")</f>
        <v>Pass</v>
      </c>
    </row>
    <row r="21" customFormat="false" ht="20.1" hidden="false" customHeight="false" outlineLevel="0" collapsed="false">
      <c r="A21" s="9" t="s">
        <v>171</v>
      </c>
      <c r="B21" s="9" t="s">
        <v>122</v>
      </c>
      <c r="C21" s="9" t="s">
        <v>123</v>
      </c>
      <c r="D21" s="26" t="s">
        <v>124</v>
      </c>
      <c r="E21" s="9" t="str">
        <f aca="false">IFERROR(INDEX('Test Case Design &amp; Test Results'!$F$10:$F$189,MATCH(A21,'Test Case Design &amp; Test Results'!$B$10:$B$189,0))&amp;"","")</f>
        <v>ผ่าน validation</v>
      </c>
      <c r="F21" s="9" t="str">
        <f aca="false">IFERROR(INDEX('Test Case Design &amp; Test Results'!$G$10:$G$189,MATCH(A21,'Test Case Design &amp; Test Results'!$B$10:$B$189,0)),"")</f>
        <v>Pass</v>
      </c>
    </row>
    <row r="22" customFormat="false" ht="38.8" hidden="false" customHeight="false" outlineLevel="0" collapsed="false">
      <c r="A22" s="9" t="s">
        <v>172</v>
      </c>
      <c r="B22" s="9" t="s">
        <v>122</v>
      </c>
      <c r="C22" s="9" t="s">
        <v>139</v>
      </c>
      <c r="D22" s="26" t="s">
        <v>124</v>
      </c>
      <c r="E22" s="9" t="str">
        <f aca="false">IFERROR(INDEX('Test Case Design &amp; Test Results'!$F$10:$F$189,MATCH(A22,'Test Case Design &amp; Test Results'!$B$10:$B$189,0))&amp;"","")</f>
        <v>ผ่าน validation</v>
      </c>
      <c r="F22" s="9" t="str">
        <f aca="false">IFERROR(INDEX('Test Case Design &amp; Test Results'!$G$10:$G$189,MATCH(A22,'Test Case Design &amp; Test Results'!$B$10:$B$189,0)),"")</f>
        <v>Pass</v>
      </c>
    </row>
    <row r="23" customFormat="false" ht="38.8" hidden="false" customHeight="false" outlineLevel="0" collapsed="false">
      <c r="A23" s="9" t="s">
        <v>173</v>
      </c>
      <c r="B23" s="9" t="s">
        <v>122</v>
      </c>
      <c r="C23" s="9" t="s">
        <v>141</v>
      </c>
      <c r="D23" s="26" t="s">
        <v>124</v>
      </c>
      <c r="E23" s="9" t="str">
        <f aca="false">IFERROR(INDEX('Test Case Design &amp; Test Results'!$F$10:$F$189,MATCH(A23,'Test Case Design &amp; Test Results'!$B$10:$B$189,0))&amp;"","")</f>
        <v>ผ่าน validation</v>
      </c>
      <c r="F23" s="9" t="str">
        <f aca="false">IFERROR(INDEX('Test Case Design &amp; Test Results'!$G$10:$G$189,MATCH(A23,'Test Case Design &amp; Test Results'!$B$10:$B$189,0)),"")</f>
        <v>Pass</v>
      </c>
    </row>
    <row r="24" customFormat="false" ht="20.1" hidden="false" customHeight="false" outlineLevel="0" collapsed="false">
      <c r="A24" s="9" t="s">
        <v>174</v>
      </c>
      <c r="B24" s="9" t="s">
        <v>133</v>
      </c>
      <c r="C24" s="9" t="s">
        <v>129</v>
      </c>
      <c r="D24" s="26" t="s">
        <v>124</v>
      </c>
      <c r="E24" s="9" t="str">
        <f aca="false">IFERROR(INDEX('Test Case Design &amp; Test Results'!$F$10:$F$189,MATCH(A24,'Test Case Design &amp; Test Results'!$B$10:$B$189,0))&amp;"","")</f>
        <v>ผ่าน validation</v>
      </c>
      <c r="F24" s="9" t="str">
        <f aca="false">IFERROR(INDEX('Test Case Design &amp; Test Results'!$G$10:$G$189,MATCH(A24,'Test Case Design &amp; Test Results'!$B$10:$B$189,0)),"")</f>
        <v>Pass</v>
      </c>
    </row>
    <row r="25" customFormat="false" ht="20.1" hidden="false" customHeight="false" outlineLevel="0" collapsed="false">
      <c r="A25" s="9" t="s">
        <v>175</v>
      </c>
      <c r="B25" s="9" t="s">
        <v>133</v>
      </c>
      <c r="C25" s="9" t="s">
        <v>131</v>
      </c>
      <c r="D25" s="26" t="s">
        <v>124</v>
      </c>
      <c r="E25" s="9" t="str">
        <f aca="false">IFERROR(INDEX('Test Case Design &amp; Test Results'!$F$10:$F$189,MATCH(A25,'Test Case Design &amp; Test Results'!$B$10:$B$189,0))&amp;"","")</f>
        <v>ผ่าน validation</v>
      </c>
      <c r="F25" s="9" t="str">
        <f aca="false">IFERROR(INDEX('Test Case Design &amp; Test Results'!$G$10:$G$189,MATCH(A25,'Test Case Design &amp; Test Results'!$B$10:$B$189,0)),"")</f>
        <v>Pass</v>
      </c>
    </row>
    <row r="26" customFormat="false" ht="20.1" hidden="false" customHeight="false" outlineLevel="0" collapsed="false">
      <c r="A26" s="9" t="s">
        <v>176</v>
      </c>
      <c r="B26" s="9" t="s">
        <v>133</v>
      </c>
      <c r="C26" s="9" t="s">
        <v>123</v>
      </c>
      <c r="D26" s="26" t="s">
        <v>124</v>
      </c>
      <c r="E26" s="9" t="str">
        <f aca="false">IFERROR(INDEX('Test Case Design &amp; Test Results'!$F$10:$F$189,MATCH(A26,'Test Case Design &amp; Test Results'!$B$10:$B$189,0))&amp;"","")</f>
        <v>ผ่าน validation</v>
      </c>
      <c r="F26" s="9" t="str">
        <f aca="false">IFERROR(INDEX('Test Case Design &amp; Test Results'!$G$10:$G$189,MATCH(A26,'Test Case Design &amp; Test Results'!$B$10:$B$189,0)),"")</f>
        <v>Pass</v>
      </c>
    </row>
    <row r="27" customFormat="false" ht="38.8" hidden="false" customHeight="false" outlineLevel="0" collapsed="false">
      <c r="A27" s="9" t="s">
        <v>177</v>
      </c>
      <c r="B27" s="9" t="s">
        <v>133</v>
      </c>
      <c r="C27" s="9" t="s">
        <v>139</v>
      </c>
      <c r="D27" s="26" t="s">
        <v>124</v>
      </c>
      <c r="E27" s="9" t="str">
        <f aca="false">IFERROR(INDEX('Test Case Design &amp; Test Results'!$F$10:$F$189,MATCH(A27,'Test Case Design &amp; Test Results'!$B$10:$B$189,0))&amp;"","")</f>
        <v>ผ่าน validation</v>
      </c>
      <c r="F27" s="9" t="str">
        <f aca="false">IFERROR(INDEX('Test Case Design &amp; Test Results'!$G$10:$G$189,MATCH(A27,'Test Case Design &amp; Test Results'!$B$10:$B$189,0)),"")</f>
        <v>Pass</v>
      </c>
    </row>
    <row r="28" customFormat="false" ht="38.8" hidden="false" customHeight="false" outlineLevel="0" collapsed="false">
      <c r="A28" s="9" t="s">
        <v>178</v>
      </c>
      <c r="B28" s="9" t="s">
        <v>133</v>
      </c>
      <c r="C28" s="9" t="s">
        <v>141</v>
      </c>
      <c r="D28" s="26" t="s">
        <v>124</v>
      </c>
      <c r="E28" s="9" t="str">
        <f aca="false">IFERROR(INDEX('Test Case Design &amp; Test Results'!$F$10:$F$189,MATCH(A28,'Test Case Design &amp; Test Results'!$B$10:$B$189,0))&amp;"","")</f>
        <v>ผ่าน validation</v>
      </c>
      <c r="F28" s="9" t="str">
        <f aca="false">IFERROR(INDEX('Test Case Design &amp; Test Results'!$G$10:$G$189,MATCH(A28,'Test Case Design &amp; Test Results'!$B$10:$B$189,0)),"")</f>
        <v>Pass</v>
      </c>
    </row>
    <row r="29" customFormat="false" ht="20.1" hidden="false" customHeight="false" outlineLevel="0" collapsed="false">
      <c r="A29" s="9" t="s">
        <v>179</v>
      </c>
      <c r="B29" s="9" t="s">
        <v>135</v>
      </c>
      <c r="C29" s="9" t="s">
        <v>129</v>
      </c>
      <c r="D29" s="26" t="s">
        <v>124</v>
      </c>
      <c r="E29" s="9" t="str">
        <f aca="false">IFERROR(INDEX('Test Case Design &amp; Test Results'!$F$10:$F$189,MATCH(A29,'Test Case Design &amp; Test Results'!$B$10:$B$189,0))&amp;"","")</f>
        <v>ผ่าน validation</v>
      </c>
      <c r="F29" s="9" t="str">
        <f aca="false">IFERROR(INDEX('Test Case Design &amp; Test Results'!$G$10:$G$189,MATCH(A29,'Test Case Design &amp; Test Results'!$B$10:$B$189,0)),"")</f>
        <v>Pass</v>
      </c>
    </row>
    <row r="30" customFormat="false" ht="20.1" hidden="false" customHeight="false" outlineLevel="0" collapsed="false">
      <c r="A30" s="9" t="s">
        <v>180</v>
      </c>
      <c r="B30" s="9" t="s">
        <v>135</v>
      </c>
      <c r="C30" s="9" t="s">
        <v>131</v>
      </c>
      <c r="D30" s="26" t="s">
        <v>124</v>
      </c>
      <c r="E30" s="9" t="str">
        <f aca="false">IFERROR(INDEX('Test Case Design &amp; Test Results'!$F$10:$F$189,MATCH(A30,'Test Case Design &amp; Test Results'!$B$10:$B$189,0))&amp;"","")</f>
        <v>ผ่าน validation</v>
      </c>
      <c r="F30" s="9" t="str">
        <f aca="false">IFERROR(INDEX('Test Case Design &amp; Test Results'!$G$10:$G$189,MATCH(A30,'Test Case Design &amp; Test Results'!$B$10:$B$189,0)),"")</f>
        <v>Pass</v>
      </c>
    </row>
    <row r="31" customFormat="false" ht="20.1" hidden="false" customHeight="false" outlineLevel="0" collapsed="false">
      <c r="A31" s="9" t="s">
        <v>181</v>
      </c>
      <c r="B31" s="9" t="s">
        <v>135</v>
      </c>
      <c r="C31" s="9" t="s">
        <v>123</v>
      </c>
      <c r="D31" s="26" t="s">
        <v>124</v>
      </c>
      <c r="E31" s="9" t="str">
        <f aca="false">IFERROR(INDEX('Test Case Design &amp; Test Results'!$F$10:$F$189,MATCH(A31,'Test Case Design &amp; Test Results'!$B$10:$B$189,0))&amp;"","")</f>
        <v>ผ่าน validation</v>
      </c>
      <c r="F31" s="9" t="str">
        <f aca="false">IFERROR(INDEX('Test Case Design &amp; Test Results'!$G$10:$G$189,MATCH(A31,'Test Case Design &amp; Test Results'!$B$10:$B$189,0)),"")</f>
        <v>Pass</v>
      </c>
    </row>
    <row r="32" customFormat="false" ht="38.8" hidden="false" customHeight="false" outlineLevel="0" collapsed="false">
      <c r="A32" s="9" t="s">
        <v>182</v>
      </c>
      <c r="B32" s="9" t="s">
        <v>135</v>
      </c>
      <c r="C32" s="9" t="s">
        <v>139</v>
      </c>
      <c r="D32" s="26" t="s">
        <v>124</v>
      </c>
      <c r="E32" s="9" t="str">
        <f aca="false">IFERROR(INDEX('Test Case Design &amp; Test Results'!$F$10:$F$189,MATCH(A32,'Test Case Design &amp; Test Results'!$B$10:$B$189,0))&amp;"","")</f>
        <v>ผ่าน validation</v>
      </c>
      <c r="F32" s="9" t="str">
        <f aca="false">IFERROR(INDEX('Test Case Design &amp; Test Results'!$G$10:$G$189,MATCH(A32,'Test Case Design &amp; Test Results'!$B$10:$B$189,0)),"")</f>
        <v>Pass</v>
      </c>
    </row>
    <row r="33" customFormat="false" ht="38.8" hidden="false" customHeight="false" outlineLevel="0" collapsed="false">
      <c r="A33" s="9" t="s">
        <v>183</v>
      </c>
      <c r="B33" s="9" t="s">
        <v>135</v>
      </c>
      <c r="C33" s="9" t="s">
        <v>141</v>
      </c>
      <c r="D33" s="26" t="s">
        <v>124</v>
      </c>
      <c r="E33" s="9" t="str">
        <f aca="false">IFERROR(INDEX('Test Case Design &amp; Test Results'!$F$10:$F$189,MATCH(A33,'Test Case Design &amp; Test Results'!$B$10:$B$189,0))&amp;"","")</f>
        <v>ผ่าน validation</v>
      </c>
      <c r="F33" s="9" t="str">
        <f aca="false">IFERROR(INDEX('Test Case Design &amp; Test Results'!$G$10:$G$189,MATCH(A33,'Test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97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0</v>
      </c>
    </row>
    <row r="3" customFormat="false" ht="30" hidden="false" customHeight="true" outlineLevel="0" collapsed="false">
      <c r="A3" s="1" t="s">
        <v>99</v>
      </c>
      <c r="B3" s="24" t="s">
        <v>100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1</v>
      </c>
    </row>
    <row r="4" customFormat="false" ht="30" hidden="false" customHeight="true" outlineLevel="0" collapsed="false">
      <c r="A4" s="1" t="s">
        <v>103</v>
      </c>
      <c r="B4" s="24" t="s">
        <v>184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2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10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97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8.8" hidden="false" customHeight="false" outlineLevel="0" collapsed="false">
      <c r="A9" s="9" t="s">
        <v>185</v>
      </c>
      <c r="B9" s="9" t="s">
        <v>153</v>
      </c>
      <c r="C9" s="9" t="s">
        <v>153</v>
      </c>
      <c r="D9" s="26" t="s">
        <v>154</v>
      </c>
      <c r="E9" s="9" t="str">
        <f aca="false">IFERROR(INDEX('Test Case Design &amp; Test Results'!$F$10:$F$189,MATCH(A9,'Test Case Design &amp; Test Results'!$B$10:$B$189,0))&amp;"","")</f>
        <v>ไม่ผ่าน validation (name)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127</v>
      </c>
    </row>
    <row r="10" customFormat="false" ht="38.8" hidden="false" customHeight="false" outlineLevel="0" collapsed="false">
      <c r="A10" s="9" t="s">
        <v>186</v>
      </c>
      <c r="B10" s="9" t="s">
        <v>153</v>
      </c>
      <c r="C10" s="9" t="s">
        <v>129</v>
      </c>
      <c r="D10" s="26" t="s">
        <v>154</v>
      </c>
      <c r="E10" s="9" t="str">
        <f aca="false">IFERROR(INDEX('Test Case Design &amp; Test Results'!$F$10:$F$189,MATCH(A10,'Test Case Design &amp; Test Results'!$B$10:$B$189,0))&amp;"","")</f>
        <v>ไม่ผ่าน validation (name)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38.8" hidden="false" customHeight="false" outlineLevel="0" collapsed="false">
      <c r="A11" s="9" t="s">
        <v>187</v>
      </c>
      <c r="B11" s="9" t="s">
        <v>153</v>
      </c>
      <c r="C11" s="9" t="s">
        <v>131</v>
      </c>
      <c r="D11" s="26" t="s">
        <v>154</v>
      </c>
      <c r="E11" s="9" t="str">
        <f aca="false">IFERROR(INDEX('Test Case Design &amp; Test Results'!$F$10:$F$189,MATCH(A11,'Test Case Design &amp; Test Results'!$B$10:$B$189,0))&amp;"","")</f>
        <v>ไม่ผ่าน validation (name)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38.8" hidden="false" customHeight="false" outlineLevel="0" collapsed="false">
      <c r="A12" s="9" t="s">
        <v>188</v>
      </c>
      <c r="B12" s="9" t="s">
        <v>153</v>
      </c>
      <c r="C12" s="9" t="s">
        <v>123</v>
      </c>
      <c r="D12" s="26" t="s">
        <v>154</v>
      </c>
      <c r="E12" s="9" t="str">
        <f aca="false">IFERROR(INDEX('Test Case Design &amp; Test Results'!$F$10:$F$189,MATCH(A12,'Test Case Design &amp; Test Results'!$B$10:$B$189,0))&amp;"","")</f>
        <v>ไม่ผ่าน validation (name)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38.8" hidden="false" customHeight="false" outlineLevel="0" collapsed="false">
      <c r="A13" s="9" t="s">
        <v>189</v>
      </c>
      <c r="B13" s="9" t="s">
        <v>153</v>
      </c>
      <c r="C13" s="9" t="s">
        <v>139</v>
      </c>
      <c r="D13" s="26" t="s">
        <v>154</v>
      </c>
      <c r="E13" s="9" t="str">
        <f aca="false">IFERROR(INDEX('Test Case Design &amp; Test Results'!$F$10:$F$189,MATCH(A13,'Test Case Design &amp; Test Results'!$B$10:$B$189,0))&amp;"","")</f>
        <v>ไม่ผ่าน validation (name)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38.8" hidden="false" customHeight="false" outlineLevel="0" collapsed="false">
      <c r="A14" s="9" t="s">
        <v>190</v>
      </c>
      <c r="B14" s="9" t="s">
        <v>153</v>
      </c>
      <c r="C14" s="9" t="s">
        <v>141</v>
      </c>
      <c r="D14" s="26" t="s">
        <v>154</v>
      </c>
      <c r="E14" s="9" t="str">
        <f aca="false">IFERROR(INDEX('Test Case Design &amp; Test Results'!$F$10:$F$189,MATCH(A14,'Test Case Design &amp; Test Results'!$B$10:$B$189,0))&amp;"","")</f>
        <v>ไม่ผ่าน validation (name)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38.8" hidden="false" customHeight="false" outlineLevel="0" collapsed="false">
      <c r="A15" s="9" t="s">
        <v>191</v>
      </c>
      <c r="B15" s="9" t="s">
        <v>129</v>
      </c>
      <c r="C15" s="9" t="s">
        <v>153</v>
      </c>
      <c r="D15" s="26" t="s">
        <v>154</v>
      </c>
      <c r="E15" s="9" t="str">
        <f aca="false">IFERROR(INDEX('Test Case Design &amp; Test Results'!$F$10:$F$189,MATCH(A15,'Test Case Design &amp; Test Results'!$B$10:$B$189,0))&amp;"","")</f>
        <v>ไม่ผ่าน validation (capacity)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20.1" hidden="false" customHeight="false" outlineLevel="0" collapsed="false">
      <c r="A16" s="9" t="s">
        <v>192</v>
      </c>
      <c r="B16" s="9" t="s">
        <v>129</v>
      </c>
      <c r="C16" s="9" t="s">
        <v>129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20.1" hidden="false" customHeight="false" outlineLevel="0" collapsed="false">
      <c r="A17" s="9" t="s">
        <v>193</v>
      </c>
      <c r="B17" s="9" t="s">
        <v>129</v>
      </c>
      <c r="C17" s="9" t="s">
        <v>131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  <row r="18" customFormat="false" ht="20.1" hidden="false" customHeight="false" outlineLevel="0" collapsed="false">
      <c r="A18" s="9" t="s">
        <v>194</v>
      </c>
      <c r="B18" s="9" t="s">
        <v>129</v>
      </c>
      <c r="C18" s="9" t="s">
        <v>123</v>
      </c>
      <c r="D18" s="26" t="s">
        <v>124</v>
      </c>
      <c r="E18" s="9" t="str">
        <f aca="false">IFERROR(INDEX('Test Case Design &amp; Test Results'!$F$10:$F$189,MATCH(A18,'Test Case Design &amp; Test Results'!$B$10:$B$189,0))&amp;"","")</f>
        <v>ผ่าน validation</v>
      </c>
      <c r="F18" s="9" t="str">
        <f aca="false">IFERROR(INDEX('Test Case Design &amp; Test Results'!$G$10:$G$189,MATCH(A18,'Test Case Design &amp; Test Results'!$B$10:$B$189,0)),"")</f>
        <v>Pass</v>
      </c>
    </row>
    <row r="19" customFormat="false" ht="38.8" hidden="false" customHeight="false" outlineLevel="0" collapsed="false">
      <c r="A19" s="9" t="s">
        <v>195</v>
      </c>
      <c r="B19" s="9" t="s">
        <v>129</v>
      </c>
      <c r="C19" s="9" t="s">
        <v>139</v>
      </c>
      <c r="D19" s="26" t="s">
        <v>124</v>
      </c>
      <c r="E19" s="9" t="str">
        <f aca="false">IFERROR(INDEX('Test Case Design &amp; Test Results'!$F$10:$F$189,MATCH(A19,'Test Case Design &amp; Test Results'!$B$10:$B$189,0))&amp;"","")</f>
        <v>ผ่าน validation</v>
      </c>
      <c r="F19" s="9" t="str">
        <f aca="false">IFERROR(INDEX('Test Case Design &amp; Test Results'!$G$10:$G$189,MATCH(A19,'Test Case Design &amp; Test Results'!$B$10:$B$189,0)),"")</f>
        <v>Pass</v>
      </c>
    </row>
    <row r="20" customFormat="false" ht="38.8" hidden="false" customHeight="false" outlineLevel="0" collapsed="false">
      <c r="A20" s="9" t="s">
        <v>196</v>
      </c>
      <c r="B20" s="9" t="s">
        <v>129</v>
      </c>
      <c r="C20" s="9" t="s">
        <v>141</v>
      </c>
      <c r="D20" s="26" t="s">
        <v>124</v>
      </c>
      <c r="E20" s="9" t="str">
        <f aca="false">IFERROR(INDEX('Test Case Design &amp; Test Results'!$F$10:$F$189,MATCH(A20,'Test Case Design &amp; Test Results'!$B$10:$B$189,0))&amp;"","")</f>
        <v>ผ่าน validation</v>
      </c>
      <c r="F20" s="9" t="str">
        <f aca="false">IFERROR(INDEX('Test Case Design &amp; Test Results'!$G$10:$G$189,MATCH(A20,'Test Case Design &amp; Test Results'!$B$10:$B$189,0)),"")</f>
        <v>Pass</v>
      </c>
    </row>
    <row r="21" customFormat="false" ht="38.8" hidden="false" customHeight="false" outlineLevel="0" collapsed="false">
      <c r="A21" s="9" t="s">
        <v>197</v>
      </c>
      <c r="B21" s="9" t="s">
        <v>131</v>
      </c>
      <c r="C21" s="9" t="s">
        <v>153</v>
      </c>
      <c r="D21" s="26" t="s">
        <v>154</v>
      </c>
      <c r="E21" s="9" t="str">
        <f aca="false">IFERROR(INDEX('Test Case Design &amp; Test Results'!$F$10:$F$189,MATCH(A21,'Test Case Design &amp; Test Results'!$B$10:$B$189,0))&amp;"","")</f>
        <v>ไม่ผ่าน validation (capacity)</v>
      </c>
      <c r="F21" s="9" t="str">
        <f aca="false">IFERROR(INDEX('Test Case Design &amp; Test Results'!$G$10:$G$189,MATCH(A21,'Test Case Design &amp; Test Results'!$B$10:$B$189,0)),"")</f>
        <v>Pass</v>
      </c>
    </row>
    <row r="22" customFormat="false" ht="20.1" hidden="false" customHeight="false" outlineLevel="0" collapsed="false">
      <c r="A22" s="9" t="s">
        <v>198</v>
      </c>
      <c r="B22" s="9" t="s">
        <v>131</v>
      </c>
      <c r="C22" s="9" t="s">
        <v>129</v>
      </c>
      <c r="D22" s="26" t="s">
        <v>124</v>
      </c>
      <c r="E22" s="9" t="str">
        <f aca="false">IFERROR(INDEX('Test Case Design &amp; Test Results'!$F$10:$F$189,MATCH(A22,'Test Case Design &amp; Test Results'!$B$10:$B$189,0))&amp;"","")</f>
        <v>ผ่าน validation</v>
      </c>
      <c r="F22" s="9" t="str">
        <f aca="false">IFERROR(INDEX('Test Case Design &amp; Test Results'!$G$10:$G$189,MATCH(A22,'Test Case Design &amp; Test Results'!$B$10:$B$189,0)),"")</f>
        <v>Pass</v>
      </c>
    </row>
    <row r="23" customFormat="false" ht="20.1" hidden="false" customHeight="false" outlineLevel="0" collapsed="false">
      <c r="A23" s="9" t="s">
        <v>199</v>
      </c>
      <c r="B23" s="9" t="s">
        <v>131</v>
      </c>
      <c r="C23" s="9" t="s">
        <v>131</v>
      </c>
      <c r="D23" s="26" t="s">
        <v>124</v>
      </c>
      <c r="E23" s="9" t="str">
        <f aca="false">IFERROR(INDEX('Test Case Design &amp; Test Results'!$F$10:$F$189,MATCH(A23,'Test Case Design &amp; Test Results'!$B$10:$B$189,0))&amp;"","")</f>
        <v>ผ่าน validation</v>
      </c>
      <c r="F23" s="9" t="str">
        <f aca="false">IFERROR(INDEX('Test Case Design &amp; Test Results'!$G$10:$G$189,MATCH(A23,'Test Case Design &amp; Test Results'!$B$10:$B$189,0)),"")</f>
        <v>Pass</v>
      </c>
    </row>
    <row r="24" customFormat="false" ht="20.1" hidden="false" customHeight="false" outlineLevel="0" collapsed="false">
      <c r="A24" s="9" t="s">
        <v>200</v>
      </c>
      <c r="B24" s="9" t="s">
        <v>131</v>
      </c>
      <c r="C24" s="9" t="s">
        <v>123</v>
      </c>
      <c r="D24" s="26" t="s">
        <v>124</v>
      </c>
      <c r="E24" s="9" t="str">
        <f aca="false">IFERROR(INDEX('Test Case Design &amp; Test Results'!$F$10:$F$189,MATCH(A24,'Test Case Design &amp; Test Results'!$B$10:$B$189,0))&amp;"","")</f>
        <v>ผ่าน validation</v>
      </c>
      <c r="F24" s="9" t="str">
        <f aca="false">IFERROR(INDEX('Test Case Design &amp; Test Results'!$G$10:$G$189,MATCH(A24,'Test Case Design &amp; Test Results'!$B$10:$B$189,0)),"")</f>
        <v>Pass</v>
      </c>
    </row>
    <row r="25" customFormat="false" ht="38.8" hidden="false" customHeight="false" outlineLevel="0" collapsed="false">
      <c r="A25" s="9" t="s">
        <v>201</v>
      </c>
      <c r="B25" s="9" t="s">
        <v>131</v>
      </c>
      <c r="C25" s="9" t="s">
        <v>139</v>
      </c>
      <c r="D25" s="26" t="s">
        <v>124</v>
      </c>
      <c r="E25" s="9" t="str">
        <f aca="false">IFERROR(INDEX('Test Case Design &amp; Test Results'!$F$10:$F$189,MATCH(A25,'Test Case Design &amp; Test Results'!$B$10:$B$189,0))&amp;"","")</f>
        <v>ผ่าน validation</v>
      </c>
      <c r="F25" s="9" t="str">
        <f aca="false">IFERROR(INDEX('Test Case Design &amp; Test Results'!$G$10:$G$189,MATCH(A25,'Test Case Design &amp; Test Results'!$B$10:$B$189,0)),"")</f>
        <v>Pass</v>
      </c>
    </row>
    <row r="26" customFormat="false" ht="38.8" hidden="false" customHeight="false" outlineLevel="0" collapsed="false">
      <c r="A26" s="9" t="s">
        <v>202</v>
      </c>
      <c r="B26" s="9" t="s">
        <v>131</v>
      </c>
      <c r="C26" s="9" t="s">
        <v>141</v>
      </c>
      <c r="D26" s="26" t="s">
        <v>124</v>
      </c>
      <c r="E26" s="9" t="str">
        <f aca="false">IFERROR(INDEX('Test Case Design &amp; Test Results'!$F$10:$F$189,MATCH(A26,'Test Case Design &amp; Test Results'!$B$10:$B$189,0))&amp;"","")</f>
        <v>ผ่าน validation</v>
      </c>
      <c r="F26" s="9" t="str">
        <f aca="false">IFERROR(INDEX('Test Case Design &amp; Test Results'!$G$10:$G$189,MATCH(A26,'Test Case Design &amp; Test Results'!$B$10:$B$189,0)),"")</f>
        <v>Pass</v>
      </c>
    </row>
    <row r="27" customFormat="false" ht="38.8" hidden="false" customHeight="false" outlineLevel="0" collapsed="false">
      <c r="A27" s="9" t="s">
        <v>203</v>
      </c>
      <c r="B27" s="9" t="s">
        <v>122</v>
      </c>
      <c r="C27" s="9" t="s">
        <v>153</v>
      </c>
      <c r="D27" s="26" t="s">
        <v>154</v>
      </c>
      <c r="E27" s="9" t="str">
        <f aca="false">IFERROR(INDEX('Test Case Design &amp; Test Results'!$F$10:$F$189,MATCH(A27,'Test Case Design &amp; Test Results'!$B$10:$B$189,0))&amp;"","")</f>
        <v>ไม่ผ่าน validation (capacity)</v>
      </c>
      <c r="F27" s="9" t="str">
        <f aca="false">IFERROR(INDEX('Test Case Design &amp; Test Results'!$G$10:$G$189,MATCH(A27,'Test Case Design &amp; Test Results'!$B$10:$B$189,0)),"")</f>
        <v>Pass</v>
      </c>
    </row>
    <row r="28" customFormat="false" ht="20.1" hidden="false" customHeight="false" outlineLevel="0" collapsed="false">
      <c r="A28" s="9" t="s">
        <v>204</v>
      </c>
      <c r="B28" s="9" t="s">
        <v>122</v>
      </c>
      <c r="C28" s="9" t="s">
        <v>129</v>
      </c>
      <c r="D28" s="26" t="s">
        <v>124</v>
      </c>
      <c r="E28" s="9" t="str">
        <f aca="false">IFERROR(INDEX('Test Case Design &amp; Test Results'!$F$10:$F$189,MATCH(A28,'Test Case Design &amp; Test Results'!$B$10:$B$189,0))&amp;"","")</f>
        <v>ผ่าน validation</v>
      </c>
      <c r="F28" s="9" t="str">
        <f aca="false">IFERROR(INDEX('Test Case Design &amp; Test Results'!$G$10:$G$189,MATCH(A28,'Test Case Design &amp; Test Results'!$B$10:$B$189,0)),"")</f>
        <v>Pass</v>
      </c>
    </row>
    <row r="29" customFormat="false" ht="20.1" hidden="false" customHeight="false" outlineLevel="0" collapsed="false">
      <c r="A29" s="9" t="s">
        <v>205</v>
      </c>
      <c r="B29" s="9" t="s">
        <v>122</v>
      </c>
      <c r="C29" s="9" t="s">
        <v>131</v>
      </c>
      <c r="D29" s="26" t="s">
        <v>124</v>
      </c>
      <c r="E29" s="9" t="str">
        <f aca="false">IFERROR(INDEX('Test Case Design &amp; Test Results'!$F$10:$F$189,MATCH(A29,'Test Case Design &amp; Test Results'!$B$10:$B$189,0))&amp;"","")</f>
        <v>ผ่าน validation</v>
      </c>
      <c r="F29" s="9" t="str">
        <f aca="false">IFERROR(INDEX('Test Case Design &amp; Test Results'!$G$10:$G$189,MATCH(A29,'Test Case Design &amp; Test Results'!$B$10:$B$189,0)),"")</f>
        <v>Pass</v>
      </c>
    </row>
    <row r="30" customFormat="false" ht="20.1" hidden="false" customHeight="false" outlineLevel="0" collapsed="false">
      <c r="A30" s="9" t="s">
        <v>206</v>
      </c>
      <c r="B30" s="9" t="s">
        <v>122</v>
      </c>
      <c r="C30" s="9" t="s">
        <v>123</v>
      </c>
      <c r="D30" s="26" t="s">
        <v>124</v>
      </c>
      <c r="E30" s="9" t="str">
        <f aca="false">IFERROR(INDEX('Test Case Design &amp; Test Results'!$F$10:$F$189,MATCH(A30,'Test Case Design &amp; Test Results'!$B$10:$B$189,0))&amp;"","")</f>
        <v>ผ่าน validation</v>
      </c>
      <c r="F30" s="9" t="str">
        <f aca="false">IFERROR(INDEX('Test Case Design &amp; Test Results'!$G$10:$G$189,MATCH(A30,'Test Case Design &amp; Test Results'!$B$10:$B$189,0)),"")</f>
        <v>Pass</v>
      </c>
    </row>
    <row r="31" customFormat="false" ht="38.8" hidden="false" customHeight="false" outlineLevel="0" collapsed="false">
      <c r="A31" s="9" t="s">
        <v>207</v>
      </c>
      <c r="B31" s="9" t="s">
        <v>122</v>
      </c>
      <c r="C31" s="9" t="s">
        <v>139</v>
      </c>
      <c r="D31" s="26" t="s">
        <v>124</v>
      </c>
      <c r="E31" s="9" t="str">
        <f aca="false">IFERROR(INDEX('Test Case Design &amp; Test Results'!$F$10:$F$189,MATCH(A31,'Test Case Design &amp; Test Results'!$B$10:$B$189,0))&amp;"","")</f>
        <v>ผ่าน validation</v>
      </c>
      <c r="F31" s="9" t="str">
        <f aca="false">IFERROR(INDEX('Test Case Design &amp; Test Results'!$G$10:$G$189,MATCH(A31,'Test Case Design &amp; Test Results'!$B$10:$B$189,0)),"")</f>
        <v>Pass</v>
      </c>
    </row>
    <row r="32" customFormat="false" ht="38.8" hidden="false" customHeight="false" outlineLevel="0" collapsed="false">
      <c r="A32" s="9" t="s">
        <v>208</v>
      </c>
      <c r="B32" s="9" t="s">
        <v>122</v>
      </c>
      <c r="C32" s="9" t="s">
        <v>141</v>
      </c>
      <c r="D32" s="26" t="s">
        <v>124</v>
      </c>
      <c r="E32" s="9" t="str">
        <f aca="false">IFERROR(INDEX('Test Case Design &amp; Test Results'!$F$10:$F$189,MATCH(A32,'Test Case Design &amp; Test Results'!$B$10:$B$189,0))&amp;"","")</f>
        <v>ผ่าน validation</v>
      </c>
      <c r="F32" s="9" t="str">
        <f aca="false">IFERROR(INDEX('Test Case Design &amp; Test Results'!$G$10:$G$189,MATCH(A32,'Test Case Design &amp; Test Results'!$B$10:$B$189,0)),"")</f>
        <v>Pass</v>
      </c>
    </row>
    <row r="33" customFormat="false" ht="38.8" hidden="false" customHeight="false" outlineLevel="0" collapsed="false">
      <c r="A33" s="9" t="s">
        <v>209</v>
      </c>
      <c r="B33" s="9" t="s">
        <v>133</v>
      </c>
      <c r="C33" s="9" t="s">
        <v>153</v>
      </c>
      <c r="D33" s="26" t="s">
        <v>154</v>
      </c>
      <c r="E33" s="9" t="str">
        <f aca="false">IFERROR(INDEX('Test Case Design &amp; Test Results'!$F$10:$F$189,MATCH(A33,'Test Case Design &amp; Test Results'!$B$10:$B$189,0))&amp;"","")</f>
        <v>ไม่ผ่าน validation (capacity)</v>
      </c>
      <c r="F33" s="9" t="str">
        <f aca="false">IFERROR(INDEX('Test Case Design &amp; Test Results'!$G$10:$G$189,MATCH(A33,'Test Case Design &amp; Test Results'!$B$10:$B$189,0)),"")</f>
        <v>Pass</v>
      </c>
    </row>
    <row r="34" customFormat="false" ht="20.1" hidden="false" customHeight="false" outlineLevel="0" collapsed="false">
      <c r="A34" s="9" t="s">
        <v>210</v>
      </c>
      <c r="B34" s="9" t="s">
        <v>133</v>
      </c>
      <c r="C34" s="9" t="s">
        <v>129</v>
      </c>
      <c r="D34" s="26" t="s">
        <v>124</v>
      </c>
      <c r="E34" s="9" t="str">
        <f aca="false">IFERROR(INDEX('Test Case Design &amp; Test Results'!$F$10:$F$189,MATCH(A34,'Test Case Design &amp; Test Results'!$B$10:$B$189,0))&amp;"","")</f>
        <v>ผ่าน validation</v>
      </c>
      <c r="F34" s="9" t="str">
        <f aca="false">IFERROR(INDEX('Test Case Design &amp; Test Results'!$G$10:$G$189,MATCH(A34,'Test Case Design &amp; Test Results'!$B$10:$B$189,0)),"")</f>
        <v>Pass</v>
      </c>
    </row>
    <row r="35" customFormat="false" ht="20.1" hidden="false" customHeight="false" outlineLevel="0" collapsed="false">
      <c r="A35" s="9" t="s">
        <v>211</v>
      </c>
      <c r="B35" s="9" t="s">
        <v>133</v>
      </c>
      <c r="C35" s="9" t="s">
        <v>131</v>
      </c>
      <c r="D35" s="26" t="s">
        <v>124</v>
      </c>
      <c r="E35" s="9" t="str">
        <f aca="false">IFERROR(INDEX('Test Case Design &amp; Test Results'!$F$10:$F$189,MATCH(A35,'Test Case Design &amp; Test Results'!$B$10:$B$189,0))&amp;"","")</f>
        <v>ผ่าน validation</v>
      </c>
      <c r="F35" s="9" t="str">
        <f aca="false">IFERROR(INDEX('Test Case Design &amp; Test Results'!$G$10:$G$189,MATCH(A35,'Test Case Design &amp; Test Results'!$B$10:$B$189,0)),"")</f>
        <v>Pass</v>
      </c>
    </row>
    <row r="36" customFormat="false" ht="20.1" hidden="false" customHeight="false" outlineLevel="0" collapsed="false">
      <c r="A36" s="9" t="s">
        <v>212</v>
      </c>
      <c r="B36" s="9" t="s">
        <v>133</v>
      </c>
      <c r="C36" s="9" t="s">
        <v>123</v>
      </c>
      <c r="D36" s="26" t="s">
        <v>124</v>
      </c>
      <c r="E36" s="9" t="str">
        <f aca="false">IFERROR(INDEX('Test Case Design &amp; Test Results'!$F$10:$F$189,MATCH(A36,'Test Case Design &amp; Test Results'!$B$10:$B$189,0))&amp;"","")</f>
        <v>ผ่าน validation</v>
      </c>
      <c r="F36" s="9" t="str">
        <f aca="false">IFERROR(INDEX('Test Case Design &amp; Test Results'!$G$10:$G$189,MATCH(A36,'Test Case Design &amp; Test Results'!$B$10:$B$189,0)),"")</f>
        <v>Pass</v>
      </c>
    </row>
    <row r="37" customFormat="false" ht="38.8" hidden="false" customHeight="false" outlineLevel="0" collapsed="false">
      <c r="A37" s="9" t="s">
        <v>213</v>
      </c>
      <c r="B37" s="9" t="s">
        <v>133</v>
      </c>
      <c r="C37" s="9" t="s">
        <v>139</v>
      </c>
      <c r="D37" s="26" t="s">
        <v>124</v>
      </c>
      <c r="E37" s="9" t="str">
        <f aca="false">IFERROR(INDEX('Test Case Design &amp; Test Results'!$F$10:$F$189,MATCH(A37,'Test Case Design &amp; Test Results'!$B$10:$B$189,0))&amp;"","")</f>
        <v>ผ่าน validation</v>
      </c>
      <c r="F37" s="9" t="str">
        <f aca="false">IFERROR(INDEX('Test Case Design &amp; Test Results'!$G$10:$G$189,MATCH(A37,'Test Case Design &amp; Test Results'!$B$10:$B$189,0)),"")</f>
        <v>Pass</v>
      </c>
    </row>
    <row r="38" customFormat="false" ht="38.8" hidden="false" customHeight="false" outlineLevel="0" collapsed="false">
      <c r="A38" s="9" t="s">
        <v>214</v>
      </c>
      <c r="B38" s="9" t="s">
        <v>133</v>
      </c>
      <c r="C38" s="9" t="s">
        <v>141</v>
      </c>
      <c r="D38" s="26" t="s">
        <v>124</v>
      </c>
      <c r="E38" s="9" t="str">
        <f aca="false">IFERROR(INDEX('Test Case Design &amp; Test Results'!$F$10:$F$189,MATCH(A38,'Test Case Design &amp; Test Results'!$B$10:$B$189,0))&amp;"","")</f>
        <v>ผ่าน validation</v>
      </c>
      <c r="F38" s="9" t="str">
        <f aca="false">IFERROR(INDEX('Test Case Design &amp; Test Results'!$G$10:$G$189,MATCH(A38,'Test Case Design &amp; Test Results'!$B$10:$B$189,0)),"")</f>
        <v>Pass</v>
      </c>
    </row>
    <row r="39" customFormat="false" ht="38.8" hidden="false" customHeight="false" outlineLevel="0" collapsed="false">
      <c r="A39" s="9" t="s">
        <v>215</v>
      </c>
      <c r="B39" s="9" t="s">
        <v>135</v>
      </c>
      <c r="C39" s="9" t="s">
        <v>153</v>
      </c>
      <c r="D39" s="26" t="s">
        <v>154</v>
      </c>
      <c r="E39" s="9" t="str">
        <f aca="false">IFERROR(INDEX('Test Case Design &amp; Test Results'!$F$10:$F$189,MATCH(A39,'Test Case Design &amp; Test Results'!$B$10:$B$189,0))&amp;"","")</f>
        <v>ไม่ผ่าน validation (capacity)</v>
      </c>
      <c r="F39" s="9" t="str">
        <f aca="false">IFERROR(INDEX('Test Case Design &amp; Test Results'!$G$10:$G$189,MATCH(A39,'Test Case Design &amp; Test Results'!$B$10:$B$189,0)),"")</f>
        <v>Pass</v>
      </c>
    </row>
    <row r="40" customFormat="false" ht="20.1" hidden="false" customHeight="false" outlineLevel="0" collapsed="false">
      <c r="A40" s="9" t="s">
        <v>216</v>
      </c>
      <c r="B40" s="9" t="s">
        <v>135</v>
      </c>
      <c r="C40" s="9" t="s">
        <v>129</v>
      </c>
      <c r="D40" s="26" t="s">
        <v>124</v>
      </c>
      <c r="E40" s="9" t="str">
        <f aca="false">IFERROR(INDEX('Test Case Design &amp; Test Results'!$F$10:$F$189,MATCH(A40,'Test Case Design &amp; Test Results'!$B$10:$B$189,0))&amp;"","")</f>
        <v>ผ่าน validation</v>
      </c>
      <c r="F40" s="9" t="str">
        <f aca="false">IFERROR(INDEX('Test Case Design &amp; Test Results'!$G$10:$G$189,MATCH(A40,'Test Case Design &amp; Test Results'!$B$10:$B$189,0)),"")</f>
        <v>Pass</v>
      </c>
    </row>
    <row r="41" customFormat="false" ht="20.1" hidden="false" customHeight="false" outlineLevel="0" collapsed="false">
      <c r="A41" s="9" t="s">
        <v>217</v>
      </c>
      <c r="B41" s="9" t="s">
        <v>135</v>
      </c>
      <c r="C41" s="9" t="s">
        <v>131</v>
      </c>
      <c r="D41" s="26" t="s">
        <v>124</v>
      </c>
      <c r="E41" s="9" t="str">
        <f aca="false">IFERROR(INDEX('Test Case Design &amp; Test Results'!$F$10:$F$189,MATCH(A41,'Test Case Design &amp; Test Results'!$B$10:$B$189,0))&amp;"","")</f>
        <v>ผ่าน validation</v>
      </c>
      <c r="F41" s="9" t="str">
        <f aca="false">IFERROR(INDEX('Test Case Design &amp; Test Results'!$G$10:$G$189,MATCH(A41,'Test Case Design &amp; Test Results'!$B$10:$B$189,0)),"")</f>
        <v>Pass</v>
      </c>
    </row>
    <row r="42" customFormat="false" ht="20.1" hidden="false" customHeight="false" outlineLevel="0" collapsed="false">
      <c r="A42" s="9" t="s">
        <v>218</v>
      </c>
      <c r="B42" s="9" t="s">
        <v>135</v>
      </c>
      <c r="C42" s="9" t="s">
        <v>123</v>
      </c>
      <c r="D42" s="26" t="s">
        <v>124</v>
      </c>
      <c r="E42" s="9" t="str">
        <f aca="false">IFERROR(INDEX('Test Case Design &amp; Test Results'!$F$10:$F$189,MATCH(A42,'Test Case Design &amp; Test Results'!$B$10:$B$189,0))&amp;"","")</f>
        <v>ผ่าน validation</v>
      </c>
      <c r="F42" s="9" t="str">
        <f aca="false">IFERROR(INDEX('Test Case Design &amp; Test Results'!$G$10:$G$189,MATCH(A42,'Test Case Design &amp; Test Results'!$B$10:$B$189,0)),"")</f>
        <v>Pass</v>
      </c>
    </row>
    <row r="43" customFormat="false" ht="38.8" hidden="false" customHeight="false" outlineLevel="0" collapsed="false">
      <c r="A43" s="9" t="s">
        <v>219</v>
      </c>
      <c r="B43" s="9" t="s">
        <v>135</v>
      </c>
      <c r="C43" s="9" t="s">
        <v>139</v>
      </c>
      <c r="D43" s="26" t="s">
        <v>124</v>
      </c>
      <c r="E43" s="9" t="str">
        <f aca="false">IFERROR(INDEX('Test Case Design &amp; Test Results'!$F$10:$F$189,MATCH(A43,'Test Case Design &amp; Test Results'!$B$10:$B$189,0))&amp;"","")</f>
        <v>ผ่าน validation</v>
      </c>
      <c r="F43" s="9" t="str">
        <f aca="false">IFERROR(INDEX('Test Case Design &amp; Test Results'!$G$10:$G$189,MATCH(A43,'Test Case Design &amp; Test Results'!$B$10:$B$189,0)),"")</f>
        <v>Pass</v>
      </c>
    </row>
    <row r="44" customFormat="false" ht="38.8" hidden="false" customHeight="false" outlineLevel="0" collapsed="false">
      <c r="A44" s="9" t="s">
        <v>220</v>
      </c>
      <c r="B44" s="9" t="s">
        <v>135</v>
      </c>
      <c r="C44" s="9" t="s">
        <v>141</v>
      </c>
      <c r="D44" s="26" t="s">
        <v>124</v>
      </c>
      <c r="E44" s="9" t="str">
        <f aca="false">IFERROR(INDEX('Test Case Design &amp; Test Results'!$F$10:$F$189,MATCH(A44,'Test Case Design &amp; Test Results'!$B$10:$B$189,0))&amp;"","")</f>
        <v>ผ่าน validation</v>
      </c>
      <c r="F44" s="9" t="str">
        <f aca="false">IFERROR(INDEX('Test Case Design &amp; Test Results'!$G$10:$G$189,MATCH(A44,'Test Case Design &amp; Test Results'!$B$10:$B$189,0)),"")</f>
        <v>Pass</v>
      </c>
    </row>
    <row r="45" customFormat="false" ht="38.8" hidden="false" customHeight="false" outlineLevel="0" collapsed="false">
      <c r="A45" s="9" t="s">
        <v>221</v>
      </c>
      <c r="B45" s="9" t="s">
        <v>156</v>
      </c>
      <c r="C45" s="9" t="s">
        <v>153</v>
      </c>
      <c r="D45" s="26" t="s">
        <v>154</v>
      </c>
      <c r="E45" s="9" t="str">
        <f aca="false">IFERROR(INDEX('Test Case Design &amp; Test Results'!$F$10:$F$189,MATCH(A45,'Test Case Design &amp; Test Results'!$B$10:$B$189,0))&amp;"","")</f>
        <v>ไม่ผ่าน validation (name)</v>
      </c>
      <c r="F45" s="9" t="str">
        <f aca="false">IFERROR(INDEX('Test Case Design &amp; Test Results'!$G$10:$G$189,MATCH(A45,'Test Case Design &amp; Test Results'!$B$10:$B$189,0)),"")</f>
        <v>Pass</v>
      </c>
    </row>
    <row r="46" customFormat="false" ht="38.8" hidden="false" customHeight="false" outlineLevel="0" collapsed="false">
      <c r="A46" s="9" t="s">
        <v>222</v>
      </c>
      <c r="B46" s="9" t="s">
        <v>156</v>
      </c>
      <c r="C46" s="9" t="s">
        <v>129</v>
      </c>
      <c r="D46" s="26" t="s">
        <v>154</v>
      </c>
      <c r="E46" s="9" t="str">
        <f aca="false">IFERROR(INDEX('Test Case Design &amp; Test Results'!$F$10:$F$189,MATCH(A46,'Test Case Design &amp; Test Results'!$B$10:$B$189,0))&amp;"","")</f>
        <v>ไม่ผ่าน validation (name)</v>
      </c>
      <c r="F46" s="9" t="str">
        <f aca="false">IFERROR(INDEX('Test Case Design &amp; Test Results'!$G$10:$G$189,MATCH(A46,'Test Case Design &amp; Test Results'!$B$10:$B$189,0)),"")</f>
        <v>Pass</v>
      </c>
    </row>
    <row r="47" customFormat="false" ht="38.8" hidden="false" customHeight="false" outlineLevel="0" collapsed="false">
      <c r="A47" s="9" t="s">
        <v>223</v>
      </c>
      <c r="B47" s="9" t="s">
        <v>156</v>
      </c>
      <c r="C47" s="9" t="s">
        <v>131</v>
      </c>
      <c r="D47" s="26" t="s">
        <v>154</v>
      </c>
      <c r="E47" s="9" t="str">
        <f aca="false">IFERROR(INDEX('Test Case Design &amp; Test Results'!$F$10:$F$189,MATCH(A47,'Test Case Design &amp; Test Results'!$B$10:$B$189,0))&amp;"","")</f>
        <v>ไม่ผ่าน validation (name)</v>
      </c>
      <c r="F47" s="9" t="str">
        <f aca="false">IFERROR(INDEX('Test Case Design &amp; Test Results'!$G$10:$G$189,MATCH(A47,'Test Case Design &amp; Test Results'!$B$10:$B$189,0)),"")</f>
        <v>Pass</v>
      </c>
    </row>
    <row r="48" customFormat="false" ht="38.8" hidden="false" customHeight="false" outlineLevel="0" collapsed="false">
      <c r="A48" s="9" t="s">
        <v>224</v>
      </c>
      <c r="B48" s="9" t="s">
        <v>156</v>
      </c>
      <c r="C48" s="9" t="s">
        <v>123</v>
      </c>
      <c r="D48" s="26" t="s">
        <v>154</v>
      </c>
      <c r="E48" s="9" t="str">
        <f aca="false">IFERROR(INDEX('Test Case Design &amp; Test Results'!$F$10:$F$189,MATCH(A48,'Test Case Design &amp; Test Results'!$B$10:$B$189,0))&amp;"","")</f>
        <v>ไม่ผ่าน validation (name)</v>
      </c>
      <c r="F48" s="9" t="str">
        <f aca="false">IFERROR(INDEX('Test Case Design &amp; Test Results'!$G$10:$G$189,MATCH(A48,'Test Case Design &amp; Test Results'!$B$10:$B$189,0)),"")</f>
        <v>Pass</v>
      </c>
    </row>
    <row r="49" customFormat="false" ht="38.8" hidden="false" customHeight="false" outlineLevel="0" collapsed="false">
      <c r="A49" s="9" t="s">
        <v>225</v>
      </c>
      <c r="B49" s="9" t="s">
        <v>156</v>
      </c>
      <c r="C49" s="9" t="s">
        <v>139</v>
      </c>
      <c r="D49" s="26" t="s">
        <v>154</v>
      </c>
      <c r="E49" s="9" t="str">
        <f aca="false">IFERROR(INDEX('Test Case Design &amp; Test Results'!$F$10:$F$189,MATCH(A49,'Test Case Design &amp; Test Results'!$B$10:$B$189,0))&amp;"","")</f>
        <v>ไม่ผ่าน validation (name)</v>
      </c>
      <c r="F49" s="9" t="str">
        <f aca="false">IFERROR(INDEX('Test Case Design &amp; Test Results'!$G$10:$G$189,MATCH(A49,'Test Case Design &amp; Test Results'!$B$10:$B$189,0)),"")</f>
        <v>Pass</v>
      </c>
    </row>
    <row r="50" customFormat="false" ht="38.8" hidden="false" customHeight="false" outlineLevel="0" collapsed="false">
      <c r="A50" s="9" t="s">
        <v>226</v>
      </c>
      <c r="B50" s="9" t="s">
        <v>156</v>
      </c>
      <c r="C50" s="9" t="s">
        <v>141</v>
      </c>
      <c r="D50" s="26" t="s">
        <v>154</v>
      </c>
      <c r="E50" s="9" t="str">
        <f aca="false">IFERROR(INDEX('Test Case Design &amp; Test Results'!$F$10:$F$189,MATCH(A50,'Test Case Design &amp; Test Results'!$B$10:$B$189,0))&amp;"","")</f>
        <v>ไม่ผ่าน validation (name)</v>
      </c>
      <c r="F50" s="9" t="str">
        <f aca="false">IFERROR(INDEX('Test Case Design &amp; Test Results'!$G$10:$G$189,MATCH(A50,'Test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227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-1</v>
      </c>
    </row>
    <row r="3" customFormat="false" ht="30" hidden="false" customHeight="true" outlineLevel="0" collapsed="false">
      <c r="A3" s="1" t="s">
        <v>99</v>
      </c>
      <c r="B3" s="24" t="s">
        <v>228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0</v>
      </c>
    </row>
    <row r="4" customFormat="false" ht="30" hidden="false" customHeight="true" outlineLevel="0" collapsed="false">
      <c r="A4" s="1" t="s">
        <v>103</v>
      </c>
      <c r="B4" s="24" t="s">
        <v>104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1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5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227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7.3" hidden="false" customHeight="false" outlineLevel="0" collapsed="false">
      <c r="A9" s="9" t="s">
        <v>229</v>
      </c>
      <c r="B9" s="9" t="s">
        <v>122</v>
      </c>
      <c r="C9" s="9" t="s">
        <v>230</v>
      </c>
      <c r="D9" s="26" t="s">
        <v>124</v>
      </c>
      <c r="E9" s="9" t="str">
        <f aca="false">IFERROR(INDEX('Test Case Design &amp; Test Results'!$F$10:$F$189,MATCH(A9,'Test Case Design &amp; Test Results'!$B$10:$B$189,0))&amp;"","")</f>
        <v>ผ่าน validation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231</v>
      </c>
    </row>
    <row r="10" customFormat="false" ht="20.1" hidden="false" customHeight="false" outlineLevel="0" collapsed="false">
      <c r="A10" s="9" t="s">
        <v>232</v>
      </c>
      <c r="B10" s="9" t="s">
        <v>129</v>
      </c>
      <c r="C10" s="9" t="s">
        <v>230</v>
      </c>
      <c r="D10" s="26" t="s">
        <v>124</v>
      </c>
      <c r="E10" s="9" t="str">
        <f aca="false">IFERROR(INDEX('Test Case Design &amp; Test Results'!$F$10:$F$189,MATCH(A10,'Test Case Design &amp; Test Results'!$B$10:$B$189,0))&amp;"","")</f>
        <v>ผ่าน validation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20.1" hidden="false" customHeight="false" outlineLevel="0" collapsed="false">
      <c r="A11" s="9" t="s">
        <v>233</v>
      </c>
      <c r="B11" s="9" t="s">
        <v>131</v>
      </c>
      <c r="C11" s="9" t="s">
        <v>230</v>
      </c>
      <c r="D11" s="26" t="s">
        <v>124</v>
      </c>
      <c r="E11" s="9" t="str">
        <f aca="false">IFERROR(INDEX('Test Case Design &amp; Test Results'!$F$10:$F$189,MATCH(A11,'Test Case Design &amp; Test Results'!$B$10:$B$189,0))&amp;"","")</f>
        <v>ผ่าน validation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20.1" hidden="false" customHeight="false" outlineLevel="0" collapsed="false">
      <c r="A12" s="9" t="s">
        <v>234</v>
      </c>
      <c r="B12" s="9" t="s">
        <v>133</v>
      </c>
      <c r="C12" s="9" t="s">
        <v>230</v>
      </c>
      <c r="D12" s="26" t="s">
        <v>124</v>
      </c>
      <c r="E12" s="9" t="str">
        <f aca="false">IFERROR(INDEX('Test Case Design &amp; Test Results'!$F$10:$F$189,MATCH(A12,'Test Case Design &amp; Test Results'!$B$10:$B$189,0))&amp;"","")</f>
        <v>ผ่าน validation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20.1" hidden="false" customHeight="false" outlineLevel="0" collapsed="false">
      <c r="A13" s="9" t="s">
        <v>235</v>
      </c>
      <c r="B13" s="9" t="s">
        <v>135</v>
      </c>
      <c r="C13" s="9" t="s">
        <v>230</v>
      </c>
      <c r="D13" s="26" t="s">
        <v>124</v>
      </c>
      <c r="E13" s="9" t="str">
        <f aca="false">IFERROR(INDEX('Test Case Design &amp; Test Results'!$F$10:$F$189,MATCH(A13,'Test Case Design &amp; Test Results'!$B$10:$B$189,0))&amp;"","")</f>
        <v>ผ่าน validation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20.1" hidden="false" customHeight="false" outlineLevel="0" collapsed="false">
      <c r="A14" s="9" t="s">
        <v>236</v>
      </c>
      <c r="B14" s="9" t="s">
        <v>122</v>
      </c>
      <c r="C14" s="9" t="s">
        <v>237</v>
      </c>
      <c r="D14" s="26" t="s">
        <v>124</v>
      </c>
      <c r="E14" s="9" t="str">
        <f aca="false">IFERROR(INDEX('Test Case Design &amp; Test Results'!$F$10:$F$189,MATCH(A14,'Test Case Design &amp; Test Results'!$B$10:$B$189,0))&amp;"","")</f>
        <v>ผ่าน validation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20.1" hidden="false" customHeight="false" outlineLevel="0" collapsed="false">
      <c r="A15" s="9" t="s">
        <v>238</v>
      </c>
      <c r="B15" s="9" t="s">
        <v>122</v>
      </c>
      <c r="C15" s="9" t="s">
        <v>239</v>
      </c>
      <c r="D15" s="26" t="s">
        <v>124</v>
      </c>
      <c r="E15" s="9" t="str">
        <f aca="false">IFERROR(INDEX('Test Case Design &amp; Test Results'!$F$10:$F$189,MATCH(A15,'Test Case Design &amp; Test Results'!$B$10:$B$189,0))&amp;"","")</f>
        <v>ผ่าน validation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38.8" hidden="false" customHeight="false" outlineLevel="0" collapsed="false">
      <c r="A16" s="9" t="s">
        <v>240</v>
      </c>
      <c r="B16" s="9" t="s">
        <v>122</v>
      </c>
      <c r="C16" s="9" t="s">
        <v>139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38.8" hidden="false" customHeight="false" outlineLevel="0" collapsed="false">
      <c r="A17" s="9" t="s">
        <v>241</v>
      </c>
      <c r="B17" s="9" t="s">
        <v>122</v>
      </c>
      <c r="C17" s="9" t="s">
        <v>141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9" min="7" style="0" width="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44.75" hidden="false" customHeight="false" outlineLevel="0" collapsed="false">
      <c r="A1" s="22" t="s">
        <v>94</v>
      </c>
      <c r="B1" s="22"/>
      <c r="C1" s="22"/>
      <c r="D1" s="22"/>
      <c r="E1" s="22"/>
      <c r="F1" s="22"/>
      <c r="J1" s="23" t="s">
        <v>95</v>
      </c>
      <c r="K1" s="19" t="s">
        <v>96</v>
      </c>
      <c r="L1" s="19" t="s">
        <v>227</v>
      </c>
    </row>
    <row r="2" customFormat="false" ht="23.1" hidden="false" customHeight="false" outlineLevel="0" collapsed="false">
      <c r="J2" s="17" t="s">
        <v>98</v>
      </c>
      <c r="K2" s="17" t="n">
        <v>0</v>
      </c>
      <c r="L2" s="17" t="n">
        <v>-1</v>
      </c>
    </row>
    <row r="3" customFormat="false" ht="30" hidden="false" customHeight="true" outlineLevel="0" collapsed="false">
      <c r="A3" s="1" t="s">
        <v>99</v>
      </c>
      <c r="B3" s="24" t="s">
        <v>228</v>
      </c>
      <c r="C3" s="24"/>
      <c r="D3" s="24"/>
      <c r="E3" s="1" t="s">
        <v>101</v>
      </c>
      <c r="F3" s="2" t="s">
        <v>1</v>
      </c>
      <c r="J3" s="17" t="s">
        <v>102</v>
      </c>
      <c r="K3" s="17" t="n">
        <v>1</v>
      </c>
      <c r="L3" s="17" t="n">
        <v>0</v>
      </c>
    </row>
    <row r="4" customFormat="false" ht="30" hidden="false" customHeight="true" outlineLevel="0" collapsed="false">
      <c r="A4" s="1" t="s">
        <v>103</v>
      </c>
      <c r="B4" s="24" t="s">
        <v>142</v>
      </c>
      <c r="C4" s="24"/>
      <c r="D4" s="24"/>
      <c r="E4" s="1" t="s">
        <v>105</v>
      </c>
      <c r="F4" s="3" t="s">
        <v>3</v>
      </c>
      <c r="J4" s="17" t="s">
        <v>106</v>
      </c>
      <c r="K4" s="17" t="n">
        <v>2</v>
      </c>
      <c r="L4" s="17" t="n">
        <v>1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1" t="s">
        <v>109</v>
      </c>
      <c r="F5" s="2" t="s">
        <v>110</v>
      </c>
      <c r="J5" s="17" t="s">
        <v>111</v>
      </c>
      <c r="K5" s="17" t="n">
        <v>50</v>
      </c>
      <c r="L5" s="17" t="n">
        <v>5</v>
      </c>
    </row>
    <row r="6" customFormat="false" ht="23.1" hidden="false" customHeight="false" outlineLevel="0" collapsed="false">
      <c r="J6" s="17" t="s">
        <v>112</v>
      </c>
      <c r="K6" s="17" t="n">
        <v>99</v>
      </c>
      <c r="L6" s="17" t="n">
        <v>2147483646</v>
      </c>
    </row>
    <row r="7" customFormat="false" ht="23.1" hidden="false" customHeight="true" outlineLevel="0" collapsed="false">
      <c r="A7" s="25" t="s">
        <v>113</v>
      </c>
      <c r="B7" s="25" t="s">
        <v>114</v>
      </c>
      <c r="C7" s="25"/>
      <c r="D7" s="25" t="s">
        <v>115</v>
      </c>
      <c r="E7" s="25" t="s">
        <v>116</v>
      </c>
      <c r="F7" s="25" t="s">
        <v>117</v>
      </c>
      <c r="J7" s="17" t="s">
        <v>118</v>
      </c>
      <c r="K7" s="17" t="n">
        <v>100</v>
      </c>
      <c r="L7" s="17" t="n">
        <v>2147483647</v>
      </c>
    </row>
    <row r="8" customFormat="false" ht="44.75" hidden="false" customHeight="false" outlineLevel="0" collapsed="false">
      <c r="A8" s="25"/>
      <c r="B8" s="19" t="s">
        <v>96</v>
      </c>
      <c r="C8" s="19" t="s">
        <v>227</v>
      </c>
      <c r="D8" s="25"/>
      <c r="E8" s="25"/>
      <c r="F8" s="25"/>
      <c r="J8" s="17" t="s">
        <v>119</v>
      </c>
      <c r="K8" s="17" t="n">
        <v>101</v>
      </c>
      <c r="L8" s="17" t="s">
        <v>120</v>
      </c>
    </row>
    <row r="9" customFormat="false" ht="37.3" hidden="false" customHeight="false" outlineLevel="0" collapsed="false">
      <c r="A9" s="9" t="s">
        <v>242</v>
      </c>
      <c r="B9" s="9" t="s">
        <v>122</v>
      </c>
      <c r="C9" s="9" t="s">
        <v>230</v>
      </c>
      <c r="D9" s="26" t="s">
        <v>124</v>
      </c>
      <c r="E9" s="9" t="str">
        <f aca="false">IFERROR(INDEX('Test Case Design &amp; Test Results'!$F$10:$F$189,MATCH(A9,'Test Case Design &amp; Test Results'!$B$10:$B$189,0))&amp;"","")</f>
        <v>ผ่าน validation</v>
      </c>
      <c r="F9" s="9" t="str">
        <f aca="false">IFERROR(INDEX('Test Case Design &amp; Test Results'!$G$10:$G$189,MATCH(A9,'Test Case Design &amp; Test Results'!$B$10:$B$189,0)),"")</f>
        <v>Pass</v>
      </c>
      <c r="J9" s="23" t="s">
        <v>125</v>
      </c>
      <c r="K9" s="17" t="s">
        <v>126</v>
      </c>
      <c r="L9" s="17" t="s">
        <v>231</v>
      </c>
    </row>
    <row r="10" customFormat="false" ht="20.1" hidden="false" customHeight="false" outlineLevel="0" collapsed="false">
      <c r="A10" s="9" t="s">
        <v>243</v>
      </c>
      <c r="B10" s="9" t="s">
        <v>129</v>
      </c>
      <c r="C10" s="9" t="s">
        <v>230</v>
      </c>
      <c r="D10" s="26" t="s">
        <v>124</v>
      </c>
      <c r="E10" s="9" t="str">
        <f aca="false">IFERROR(INDEX('Test Case Design &amp; Test Results'!$F$10:$F$189,MATCH(A10,'Test Case Design &amp; Test Results'!$B$10:$B$189,0))&amp;"","")</f>
        <v>ผ่าน validation</v>
      </c>
      <c r="F10" s="9" t="str">
        <f aca="false">IFERROR(INDEX('Test Case Design &amp; Test Results'!$G$10:$G$189,MATCH(A10,'Test Case Design &amp; Test Results'!$B$10:$B$189,0)),"")</f>
        <v>Pass</v>
      </c>
    </row>
    <row r="11" customFormat="false" ht="20.1" hidden="false" customHeight="false" outlineLevel="0" collapsed="false">
      <c r="A11" s="9" t="s">
        <v>244</v>
      </c>
      <c r="B11" s="9" t="s">
        <v>131</v>
      </c>
      <c r="C11" s="9" t="s">
        <v>230</v>
      </c>
      <c r="D11" s="26" t="s">
        <v>124</v>
      </c>
      <c r="E11" s="9" t="str">
        <f aca="false">IFERROR(INDEX('Test Case Design &amp; Test Results'!$F$10:$F$189,MATCH(A11,'Test Case Design &amp; Test Results'!$B$10:$B$189,0))&amp;"","")</f>
        <v>ผ่าน validation</v>
      </c>
      <c r="F11" s="9" t="str">
        <f aca="false">IFERROR(INDEX('Test Case Design &amp; Test Results'!$G$10:$G$189,MATCH(A11,'Test Case Design &amp; Test Results'!$B$10:$B$189,0)),"")</f>
        <v>Pass</v>
      </c>
    </row>
    <row r="12" customFormat="false" ht="20.1" hidden="false" customHeight="false" outlineLevel="0" collapsed="false">
      <c r="A12" s="9" t="s">
        <v>245</v>
      </c>
      <c r="B12" s="9" t="s">
        <v>133</v>
      </c>
      <c r="C12" s="9" t="s">
        <v>230</v>
      </c>
      <c r="D12" s="26" t="s">
        <v>124</v>
      </c>
      <c r="E12" s="9" t="str">
        <f aca="false">IFERROR(INDEX('Test Case Design &amp; Test Results'!$F$10:$F$189,MATCH(A12,'Test Case Design &amp; Test Results'!$B$10:$B$189,0))&amp;"","")</f>
        <v>ผ่าน validation</v>
      </c>
      <c r="F12" s="9" t="str">
        <f aca="false">IFERROR(INDEX('Test Case Design &amp; Test Results'!$G$10:$G$189,MATCH(A12,'Test Case Design &amp; Test Results'!$B$10:$B$189,0)),"")</f>
        <v>Pass</v>
      </c>
    </row>
    <row r="13" customFormat="false" ht="20.1" hidden="false" customHeight="false" outlineLevel="0" collapsed="false">
      <c r="A13" s="9" t="s">
        <v>246</v>
      </c>
      <c r="B13" s="9" t="s">
        <v>135</v>
      </c>
      <c r="C13" s="9" t="s">
        <v>230</v>
      </c>
      <c r="D13" s="26" t="s">
        <v>124</v>
      </c>
      <c r="E13" s="9" t="str">
        <f aca="false">IFERROR(INDEX('Test Case Design &amp; Test Results'!$F$10:$F$189,MATCH(A13,'Test Case Design &amp; Test Results'!$B$10:$B$189,0))&amp;"","")</f>
        <v>ผ่าน validation</v>
      </c>
      <c r="F13" s="9" t="str">
        <f aca="false">IFERROR(INDEX('Test Case Design &amp; Test Results'!$G$10:$G$189,MATCH(A13,'Test Case Design &amp; Test Results'!$B$10:$B$189,0)),"")</f>
        <v>Pass</v>
      </c>
    </row>
    <row r="14" customFormat="false" ht="20.1" hidden="false" customHeight="false" outlineLevel="0" collapsed="false">
      <c r="A14" s="9" t="s">
        <v>247</v>
      </c>
      <c r="B14" s="9" t="s">
        <v>122</v>
      </c>
      <c r="C14" s="9" t="s">
        <v>237</v>
      </c>
      <c r="D14" s="26" t="s">
        <v>124</v>
      </c>
      <c r="E14" s="9" t="str">
        <f aca="false">IFERROR(INDEX('Test Case Design &amp; Test Results'!$F$10:$F$189,MATCH(A14,'Test Case Design &amp; Test Results'!$B$10:$B$189,0))&amp;"","")</f>
        <v>ผ่าน validation</v>
      </c>
      <c r="F14" s="9" t="str">
        <f aca="false">IFERROR(INDEX('Test Case Design &amp; Test Results'!$G$10:$G$189,MATCH(A14,'Test Case Design &amp; Test Results'!$B$10:$B$189,0)),"")</f>
        <v>Pass</v>
      </c>
    </row>
    <row r="15" customFormat="false" ht="20.1" hidden="false" customHeight="false" outlineLevel="0" collapsed="false">
      <c r="A15" s="9" t="s">
        <v>248</v>
      </c>
      <c r="B15" s="9" t="s">
        <v>122</v>
      </c>
      <c r="C15" s="9" t="s">
        <v>239</v>
      </c>
      <c r="D15" s="26" t="s">
        <v>124</v>
      </c>
      <c r="E15" s="9" t="str">
        <f aca="false">IFERROR(INDEX('Test Case Design &amp; Test Results'!$F$10:$F$189,MATCH(A15,'Test Case Design &amp; Test Results'!$B$10:$B$189,0))&amp;"","")</f>
        <v>ผ่าน validation</v>
      </c>
      <c r="F15" s="9" t="str">
        <f aca="false">IFERROR(INDEX('Test Case Design &amp; Test Results'!$G$10:$G$189,MATCH(A15,'Test Case Design &amp; Test Results'!$B$10:$B$189,0)),"")</f>
        <v>Pass</v>
      </c>
    </row>
    <row r="16" customFormat="false" ht="38.8" hidden="false" customHeight="false" outlineLevel="0" collapsed="false">
      <c r="A16" s="9" t="s">
        <v>249</v>
      </c>
      <c r="B16" s="9" t="s">
        <v>122</v>
      </c>
      <c r="C16" s="9" t="s">
        <v>139</v>
      </c>
      <c r="D16" s="26" t="s">
        <v>124</v>
      </c>
      <c r="E16" s="9" t="str">
        <f aca="false">IFERROR(INDEX('Test Case Design &amp; Test Results'!$F$10:$F$189,MATCH(A16,'Test Case Design &amp; Test Results'!$B$10:$B$189,0))&amp;"","")</f>
        <v>ผ่าน validation</v>
      </c>
      <c r="F16" s="9" t="str">
        <f aca="false">IFERROR(INDEX('Test Case Design &amp; Test Results'!$G$10:$G$189,MATCH(A16,'Test Case Design &amp; Test Results'!$B$10:$B$189,0)),"")</f>
        <v>Pass</v>
      </c>
    </row>
    <row r="17" customFormat="false" ht="38.8" hidden="false" customHeight="false" outlineLevel="0" collapsed="false">
      <c r="A17" s="9" t="s">
        <v>250</v>
      </c>
      <c r="B17" s="9" t="s">
        <v>122</v>
      </c>
      <c r="C17" s="9" t="s">
        <v>141</v>
      </c>
      <c r="D17" s="26" t="s">
        <v>124</v>
      </c>
      <c r="E17" s="9" t="str">
        <f aca="false">IFERROR(INDEX('Test Case Design &amp; Test Results'!$F$10:$F$189,MATCH(A17,'Test Case Design &amp; Test Results'!$B$10:$B$189,0))&amp;"","")</f>
        <v>ผ่าน validation</v>
      </c>
      <c r="F17" s="9" t="str">
        <f aca="false">IFERROR(INDEX('Test Case Design &amp; Test Results'!$G$10:$G$189,MATCH(A17,'Test Case Design &amp; Test Results'!$B$10:$B$189,0)),"")</f>
        <v>Pass</v>
      </c>
    </row>
    <row r="18" customFormat="false" ht="38.8" hidden="false" customHeight="false" outlineLevel="0" collapsed="false">
      <c r="A18" s="9" t="s">
        <v>251</v>
      </c>
      <c r="B18" s="9" t="s">
        <v>153</v>
      </c>
      <c r="C18" s="9" t="s">
        <v>230</v>
      </c>
      <c r="D18" s="26" t="s">
        <v>154</v>
      </c>
      <c r="E18" s="9" t="str">
        <f aca="false">IFERROR(INDEX('Test Case Design &amp; Test Results'!$F$10:$F$189,MATCH(A18,'Test Case Design &amp; Test Results'!$B$10:$B$189,0))&amp;"","")</f>
        <v>ไม่ผ่าน validation (name)</v>
      </c>
      <c r="F18" s="9" t="str">
        <f aca="false">IFERROR(INDEX('Test Case Design &amp; Test Results'!$G$10:$G$189,MATCH(A18,'Test Case Design &amp; Test Results'!$B$10:$B$189,0)),"")</f>
        <v>Pass</v>
      </c>
    </row>
    <row r="19" customFormat="false" ht="38.8" hidden="false" customHeight="false" outlineLevel="0" collapsed="false">
      <c r="A19" s="9" t="s">
        <v>252</v>
      </c>
      <c r="B19" s="9" t="s">
        <v>156</v>
      </c>
      <c r="C19" s="9" t="s">
        <v>230</v>
      </c>
      <c r="D19" s="26" t="s">
        <v>154</v>
      </c>
      <c r="E19" s="9" t="str">
        <f aca="false">IFERROR(INDEX('Test Case Design &amp; Test Results'!$F$10:$F$189,MATCH(A19,'Test Case Design &amp; Test Results'!$B$10:$B$189,0))&amp;"","")</f>
        <v>ไม่ผ่าน validation (name)</v>
      </c>
      <c r="F19" s="9" t="str">
        <f aca="false">IFERROR(INDEX('Test Case Design &amp; Test Results'!$G$10:$G$189,MATCH(A19,'Test Case Design &amp; Test Results'!$B$10:$B$189,0)),"")</f>
        <v>Pass</v>
      </c>
    </row>
    <row r="20" customFormat="false" ht="38.8" hidden="false" customHeight="false" outlineLevel="0" collapsed="false">
      <c r="A20" s="9" t="s">
        <v>253</v>
      </c>
      <c r="B20" s="9" t="s">
        <v>122</v>
      </c>
      <c r="C20" s="9" t="s">
        <v>254</v>
      </c>
      <c r="D20" s="26" t="s">
        <v>154</v>
      </c>
      <c r="E20" s="9" t="str">
        <f aca="false">IFERROR(INDEX('Test Case Design &amp; Test Results'!$F$10:$F$189,MATCH(A20,'Test Case Design &amp; Test Results'!$B$10:$B$189,0))&amp;"","")</f>
        <v>ไม่ผ่าน validation (totalQuantity)</v>
      </c>
      <c r="F20" s="9" t="str">
        <f aca="false">IFERROR(INDEX('Test Case Design &amp; Test Results'!$G$10:$G$189,MATCH(A20,'Test Case Design &amp; Test Results'!$B$10:$B$189,0)),"")</f>
        <v>Pass</v>
      </c>
    </row>
  </sheetData>
  <mergeCells count="9">
    <mergeCell ref="A1:F1"/>
    <mergeCell ref="B3:D3"/>
    <mergeCell ref="B4:D4"/>
    <mergeCell ref="B5:D5"/>
    <mergeCell ref="A7:A8"/>
    <mergeCell ref="B7:C7"/>
    <mergeCell ref="D7:D8"/>
    <mergeCell ref="E7:E8"/>
    <mergeCell ref="F7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7"/>
    <col collapsed="false" customWidth="true" hidden="false" outlineLevel="0" max="6" min="3" style="0" width="9"/>
    <col collapsed="false" customWidth="true" hidden="false" outlineLevel="0" max="7" min="7" style="0" width="22"/>
  </cols>
  <sheetData>
    <row r="2" customFormat="false" ht="66.4" hidden="false" customHeight="false" outlineLevel="0" collapsed="false">
      <c r="A2" s="15" t="s">
        <v>255</v>
      </c>
      <c r="B2" s="15" t="s">
        <v>9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</row>
    <row r="3" customFormat="false" ht="23.1" hidden="false" customHeight="false" outlineLevel="0" collapsed="false">
      <c r="A3" s="16" t="s">
        <v>100</v>
      </c>
      <c r="B3" s="17" t="n">
        <f aca="false">COUNTIF('Test Case Design &amp; Test Results'!$B$10:$B$189,"TC-ECR-???")</f>
        <v>15</v>
      </c>
      <c r="C3" s="17" t="n">
        <f aca="false">COUNTIFS('Test Case Design &amp; Test Results'!$B$10:$B$189,"TC-ECR-???",'Test Case Design &amp; Test Results'!$G$10:$G$189,"Pass")</f>
        <v>15</v>
      </c>
      <c r="D3" s="17" t="n">
        <f aca="false">COUNTIFS('Test Case Design &amp; Test Results'!$B$10:$B$189,"TC-ECR-???",'Test Case Design &amp; Test Results'!$G$10:$G$189,"Fail")</f>
        <v>0</v>
      </c>
      <c r="E3" s="17" t="n">
        <f aca="false">COUNTIFS('Test Case Design &amp; Test Results'!$B$10:$B$189,"TC-ECR-???",'Test Case Design &amp; Test Results'!$G$10:$G$189,"No run")</f>
        <v>0</v>
      </c>
      <c r="F3" s="17" t="n">
        <f aca="false">COUNTIFS('Test Case Design &amp; Test Results'!$B$10:$B$189,"TC-ECR-???",'Test Case Design &amp; Test Results'!$G$10:$G$189,"Block")</f>
        <v>0</v>
      </c>
      <c r="G3" s="17"/>
    </row>
    <row r="4" customFormat="false" ht="44.75" hidden="false" customHeight="false" outlineLevel="0" collapsed="false">
      <c r="A4" s="16" t="s">
        <v>228</v>
      </c>
      <c r="B4" s="17" t="n">
        <f aca="false">COUNTIF('Test Case Design &amp; Test Results'!$B$10:$B$189,"TC-ECE-???")</f>
        <v>10</v>
      </c>
      <c r="C4" s="17" t="n">
        <f aca="false">COUNTIFS('Test Case Design &amp; Test Results'!$B$10:$B$189,"TC-ECE-???",'Test Case Design &amp; Test Results'!$G$10:$G$189,"Pass")</f>
        <v>10</v>
      </c>
      <c r="D4" s="17" t="n">
        <f aca="false">COUNTIFS('Test Case Design &amp; Test Results'!$B$10:$B$189,"TC-ECE-???",'Test Case Design &amp; Test Results'!$G$10:$G$189,"Fail")</f>
        <v>0</v>
      </c>
      <c r="E4" s="17" t="n">
        <f aca="false">COUNTIFS('Test Case Design &amp; Test Results'!$B$10:$B$189,"TC-ECE-???",'Test Case Design &amp; Test Results'!$G$10:$G$189,"No run")</f>
        <v>0</v>
      </c>
      <c r="F4" s="17" t="n">
        <f aca="false">COUNTIFS('Test Case Design &amp; Test Results'!$B$10:$B$189,"TC-ECE-???",'Test Case Design &amp; Test Results'!$G$10:$G$189,"Block")</f>
        <v>0</v>
      </c>
      <c r="G4" s="17"/>
    </row>
    <row r="5" customFormat="false" ht="23.1" hidden="false" customHeight="false" outlineLevel="0" collapsed="false">
      <c r="A5" s="18" t="s">
        <v>47</v>
      </c>
      <c r="B5" s="23" t="n">
        <f aca="false">SUM(B3:B4)</f>
        <v>25</v>
      </c>
      <c r="C5" s="23" t="n">
        <f aca="false">SUM(C3:C4)</f>
        <v>25</v>
      </c>
      <c r="D5" s="23" t="n">
        <f aca="false">SUM(D3:D4)</f>
        <v>0</v>
      </c>
      <c r="E5" s="23" t="n">
        <f aca="false">SUM(E3:E4)</f>
        <v>0</v>
      </c>
      <c r="F5" s="23" t="n">
        <f aca="false">SUM(F3:F4)</f>
        <v>0</v>
      </c>
      <c r="G5" s="20"/>
    </row>
    <row r="7" customFormat="false" ht="20.1" hidden="false" customHeight="false" outlineLevel="0" collapsed="false">
      <c r="A7" s="21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5"/>
  </cols>
  <sheetData>
    <row r="1" customFormat="false" ht="19.7" hidden="false" customHeight="false" outlineLevel="0" collapsed="false">
      <c r="A1" s="27" t="s">
        <v>257</v>
      </c>
      <c r="B1" s="27"/>
      <c r="C1" s="27"/>
      <c r="D1" s="27"/>
      <c r="E1" s="27"/>
      <c r="F1" s="27"/>
      <c r="G1" s="27"/>
      <c r="H1" s="27"/>
      <c r="I1" s="27"/>
    </row>
    <row r="2" customFormat="false" ht="19.7" hidden="false" customHeight="false" outlineLevel="0" collapsed="false">
      <c r="A2" s="28" t="s">
        <v>258</v>
      </c>
      <c r="B2" s="28"/>
      <c r="C2" s="28"/>
      <c r="D2" s="28"/>
      <c r="F2" s="28" t="s">
        <v>259</v>
      </c>
      <c r="G2" s="28"/>
      <c r="H2" s="28"/>
      <c r="I2" s="28"/>
    </row>
    <row r="3" customFormat="false" ht="19.7" hidden="false" customHeight="false" outlineLevel="0" collapsed="false">
      <c r="A3" s="29" t="s">
        <v>260</v>
      </c>
      <c r="B3" s="29" t="s">
        <v>261</v>
      </c>
      <c r="C3" s="29"/>
      <c r="D3" s="29"/>
      <c r="F3" s="29" t="s">
        <v>260</v>
      </c>
      <c r="G3" s="29" t="s">
        <v>261</v>
      </c>
      <c r="H3" s="29"/>
      <c r="I3" s="29"/>
    </row>
    <row r="4" customFormat="false" ht="20.1" hidden="false" customHeight="false" outlineLevel="0" collapsed="false">
      <c r="A4" s="5" t="s">
        <v>262</v>
      </c>
      <c r="B4" s="5" t="s">
        <v>263</v>
      </c>
      <c r="C4" s="5"/>
      <c r="D4" s="5"/>
      <c r="F4" s="5" t="s">
        <v>264</v>
      </c>
      <c r="G4" s="5" t="s">
        <v>265</v>
      </c>
      <c r="H4" s="5"/>
      <c r="I4" s="5"/>
    </row>
    <row r="5" customFormat="false" ht="20.1" hidden="false" customHeight="false" outlineLevel="0" collapsed="false">
      <c r="A5" s="5" t="s">
        <v>266</v>
      </c>
      <c r="B5" s="5" t="s">
        <v>267</v>
      </c>
      <c r="C5" s="5"/>
      <c r="D5" s="5"/>
      <c r="F5" s="5" t="s">
        <v>268</v>
      </c>
      <c r="G5" s="5" t="s">
        <v>269</v>
      </c>
      <c r="H5" s="5"/>
      <c r="I5" s="5"/>
    </row>
    <row r="6" customFormat="false" ht="20.1" hidden="false" customHeight="false" outlineLevel="0" collapsed="false">
      <c r="A6" s="5" t="s">
        <v>270</v>
      </c>
      <c r="B6" s="5" t="s">
        <v>271</v>
      </c>
      <c r="C6" s="5"/>
      <c r="D6" s="5"/>
      <c r="F6" s="5" t="s">
        <v>272</v>
      </c>
      <c r="G6" s="5" t="s">
        <v>273</v>
      </c>
      <c r="H6" s="5"/>
      <c r="I6" s="5"/>
    </row>
    <row r="7" customFormat="false" ht="20.1" hidden="false" customHeight="false" outlineLevel="0" collapsed="false">
      <c r="A7" s="5" t="s">
        <v>274</v>
      </c>
      <c r="B7" s="5" t="s">
        <v>275</v>
      </c>
      <c r="C7" s="5"/>
      <c r="D7" s="5"/>
      <c r="F7" s="5" t="s">
        <v>276</v>
      </c>
      <c r="G7" s="5" t="s">
        <v>277</v>
      </c>
      <c r="H7" s="5"/>
      <c r="I7" s="5"/>
    </row>
    <row r="8" customFormat="false" ht="20.1" hidden="false" customHeight="false" outlineLevel="0" collapsed="false">
      <c r="A8" s="5" t="s">
        <v>278</v>
      </c>
      <c r="B8" s="5" t="s">
        <v>279</v>
      </c>
      <c r="C8" s="5"/>
      <c r="D8" s="5"/>
      <c r="F8" s="5" t="s">
        <v>280</v>
      </c>
      <c r="G8" s="5" t="s">
        <v>281</v>
      </c>
      <c r="H8" s="5"/>
      <c r="I8" s="5"/>
    </row>
    <row r="9" customFormat="false" ht="19.7" hidden="false" customHeight="false" outlineLevel="0" collapsed="false">
      <c r="A9" s="20"/>
      <c r="B9" s="20"/>
      <c r="C9" s="20"/>
      <c r="D9" s="20"/>
      <c r="F9" s="5" t="s">
        <v>282</v>
      </c>
      <c r="G9" s="5" t="s">
        <v>283</v>
      </c>
      <c r="H9" s="5"/>
      <c r="I9" s="5"/>
    </row>
    <row r="10" customFormat="false" ht="19.7" hidden="false" customHeight="false" outlineLevel="0" collapsed="false">
      <c r="A10" s="20"/>
      <c r="B10" s="20"/>
      <c r="C10" s="20"/>
      <c r="D10" s="20"/>
      <c r="F10" s="5" t="s">
        <v>284</v>
      </c>
      <c r="G10" s="5" t="s">
        <v>285</v>
      </c>
      <c r="H10" s="5"/>
      <c r="I10" s="5"/>
    </row>
    <row r="12" customFormat="false" ht="19.7" hidden="false" customHeight="false" outlineLevel="0" collapsed="false">
      <c r="A12" s="30" t="s">
        <v>94</v>
      </c>
      <c r="B12" s="30"/>
      <c r="C12" s="30"/>
      <c r="D12" s="30"/>
      <c r="E12" s="30"/>
      <c r="F12" s="30"/>
      <c r="G12" s="30"/>
      <c r="H12" s="30"/>
      <c r="I12" s="30"/>
    </row>
    <row r="14" customFormat="false" ht="20.1" hidden="false" customHeight="true" outlineLevel="0" collapsed="false">
      <c r="A14" s="31" t="s">
        <v>99</v>
      </c>
      <c r="B14" s="32" t="s">
        <v>100</v>
      </c>
      <c r="C14" s="32"/>
      <c r="D14" s="32"/>
      <c r="E14" s="32"/>
      <c r="F14" s="32"/>
      <c r="G14" s="32"/>
      <c r="H14" s="31" t="s">
        <v>101</v>
      </c>
      <c r="I14" s="21" t="s">
        <v>1</v>
      </c>
    </row>
    <row r="15" customFormat="false" ht="20.1" hidden="false" customHeight="true" outlineLevel="0" collapsed="false">
      <c r="A15" s="31" t="s">
        <v>103</v>
      </c>
      <c r="B15" s="32" t="s">
        <v>286</v>
      </c>
      <c r="C15" s="32"/>
      <c r="D15" s="32"/>
      <c r="E15" s="32"/>
      <c r="F15" s="32"/>
      <c r="G15" s="32"/>
      <c r="H15" s="31" t="s">
        <v>105</v>
      </c>
      <c r="I15" s="33" t="s">
        <v>3</v>
      </c>
    </row>
    <row r="16" customFormat="false" ht="20.1" hidden="false" customHeight="true" outlineLevel="0" collapsed="false">
      <c r="A16" s="31" t="s">
        <v>107</v>
      </c>
      <c r="B16" s="32" t="s">
        <v>108</v>
      </c>
      <c r="C16" s="32"/>
      <c r="D16" s="32"/>
      <c r="E16" s="32"/>
      <c r="F16" s="32"/>
      <c r="G16" s="32"/>
      <c r="H16" s="31" t="s">
        <v>109</v>
      </c>
      <c r="I16" s="21" t="s">
        <v>110</v>
      </c>
    </row>
    <row r="18" customFormat="false" ht="20.1" hidden="false" customHeight="true" outlineLevel="0" collapsed="false">
      <c r="A18" s="34" t="s">
        <v>113</v>
      </c>
      <c r="B18" s="34" t="s">
        <v>114</v>
      </c>
      <c r="C18" s="34"/>
      <c r="D18" s="34"/>
      <c r="E18" s="34"/>
      <c r="F18" s="34"/>
      <c r="G18" s="34" t="s">
        <v>115</v>
      </c>
      <c r="H18" s="34" t="s">
        <v>116</v>
      </c>
      <c r="I18" s="34" t="s">
        <v>117</v>
      </c>
    </row>
    <row r="19" customFormat="false" ht="20.1" hidden="false" customHeight="false" outlineLevel="0" collapsed="false">
      <c r="A19" s="34"/>
      <c r="B19" s="11" t="s">
        <v>287</v>
      </c>
      <c r="C19" s="11" t="s">
        <v>97</v>
      </c>
      <c r="D19" s="11" t="s">
        <v>288</v>
      </c>
      <c r="E19" s="11" t="s">
        <v>289</v>
      </c>
      <c r="F19" s="11" t="s">
        <v>290</v>
      </c>
      <c r="G19" s="34"/>
      <c r="H19" s="34"/>
      <c r="I19" s="34"/>
    </row>
    <row r="20" customFormat="false" ht="20.1" hidden="false" customHeight="false" outlineLevel="0" collapsed="false">
      <c r="A20" s="9" t="s">
        <v>291</v>
      </c>
      <c r="B20" s="9" t="s">
        <v>292</v>
      </c>
      <c r="C20" s="9" t="n">
        <v>10</v>
      </c>
      <c r="D20" s="9" t="s">
        <v>293</v>
      </c>
      <c r="E20" s="9" t="s">
        <v>294</v>
      </c>
      <c r="F20" s="9" t="s">
        <v>295</v>
      </c>
      <c r="G20" s="26" t="s">
        <v>296</v>
      </c>
      <c r="H20" s="9" t="str">
        <f aca="false">IFERROR(INDEX('Test Case Design &amp; Test Results'!$F$10:$F$189,MATCH(A20,'Test Case Design &amp; Test Results'!$B$10:$B$189,0))&amp;"","")</f>
        <v>ไม่มี violation</v>
      </c>
      <c r="I20" s="9" t="str">
        <f aca="false">IFERROR(INDEX('Test Case Design &amp; Test Results'!$G$10:$G$189,MATCH(A20,'Test Case Design &amp; Test Results'!$B$10:$B$189,0)),"")</f>
        <v>Pass</v>
      </c>
    </row>
    <row r="21" customFormat="false" ht="20.1" hidden="false" customHeight="false" outlineLevel="0" collapsed="false">
      <c r="A21" s="9" t="s">
        <v>297</v>
      </c>
      <c r="B21" s="9" t="s">
        <v>292</v>
      </c>
      <c r="C21" s="9" t="n">
        <v>10</v>
      </c>
      <c r="D21" s="9" t="s">
        <v>298</v>
      </c>
      <c r="E21" s="9" t="s">
        <v>294</v>
      </c>
      <c r="F21" s="9" t="s">
        <v>295</v>
      </c>
      <c r="G21" s="26" t="s">
        <v>296</v>
      </c>
      <c r="H21" s="9" t="str">
        <f aca="false">IFERROR(INDEX('Test Case Design &amp; Test Results'!$F$10:$F$189,MATCH(A21,'Test Case Design &amp; Test Results'!$B$10:$B$189,0))&amp;"","")</f>
        <v>ไม่มี violation</v>
      </c>
      <c r="I21" s="9" t="str">
        <f aca="false">IFERROR(INDEX('Test Case Design &amp; Test Results'!$G$10:$G$189,MATCH(A21,'Test Case Design &amp; Test Results'!$B$10:$B$189,0)),"")</f>
        <v>Pass</v>
      </c>
    </row>
    <row r="22" customFormat="false" ht="20.1" hidden="false" customHeight="false" outlineLevel="0" collapsed="false">
      <c r="A22" s="9" t="s">
        <v>299</v>
      </c>
      <c r="B22" s="9" t="s">
        <v>292</v>
      </c>
      <c r="C22" s="9" t="n">
        <v>10</v>
      </c>
      <c r="D22" s="9" t="s">
        <v>300</v>
      </c>
      <c r="E22" s="9" t="s">
        <v>294</v>
      </c>
      <c r="F22" s="9" t="s">
        <v>295</v>
      </c>
      <c r="G22" s="26" t="s">
        <v>296</v>
      </c>
      <c r="H22" s="9" t="str">
        <f aca="false">IFERROR(INDEX('Test Case Design &amp; Test Results'!$F$10:$F$189,MATCH(A22,'Test Case Design &amp; Test Results'!$B$10:$B$189,0))&amp;"","")</f>
        <v>ไม่มี violation</v>
      </c>
      <c r="I22" s="9" t="str">
        <f aca="false">IFERROR(INDEX('Test Case Design &amp; Test Results'!$G$10:$G$189,MATCH(A22,'Test Case Design &amp; Test Results'!$B$10:$B$189,0)),"")</f>
        <v>Pass</v>
      </c>
    </row>
    <row r="23" customFormat="false" ht="20.1" hidden="false" customHeight="false" outlineLevel="0" collapsed="false">
      <c r="A23" s="9" t="s">
        <v>301</v>
      </c>
      <c r="B23" s="9" t="s">
        <v>292</v>
      </c>
      <c r="C23" s="9" t="n">
        <v>10</v>
      </c>
      <c r="D23" s="9" t="s">
        <v>293</v>
      </c>
      <c r="E23" s="9" t="s">
        <v>302</v>
      </c>
      <c r="F23" s="9" t="s">
        <v>295</v>
      </c>
      <c r="G23" s="26" t="s">
        <v>296</v>
      </c>
      <c r="H23" s="9" t="str">
        <f aca="false">IFERROR(INDEX('Test Case Design &amp; Test Results'!$F$10:$F$189,MATCH(A23,'Test Case Design &amp; Test Results'!$B$10:$B$189,0))&amp;"","")</f>
        <v>ไม่มี violation</v>
      </c>
      <c r="I23" s="9" t="str">
        <f aca="false">IFERROR(INDEX('Test Case Design &amp; Test Results'!$G$10:$G$189,MATCH(A23,'Test Case Design &amp; Test Results'!$B$10:$B$189,0)),"")</f>
        <v>Pass</v>
      </c>
    </row>
    <row r="24" customFormat="false" ht="38.8" hidden="false" customHeight="false" outlineLevel="0" collapsed="false">
      <c r="A24" s="9" t="s">
        <v>303</v>
      </c>
      <c r="B24" s="9" t="s">
        <v>292</v>
      </c>
      <c r="C24" s="9" t="n">
        <v>10</v>
      </c>
      <c r="D24" s="9" t="s">
        <v>293</v>
      </c>
      <c r="E24" s="9" t="s">
        <v>294</v>
      </c>
      <c r="F24" s="9" t="s">
        <v>304</v>
      </c>
      <c r="G24" s="26" t="s">
        <v>296</v>
      </c>
      <c r="H24" s="9" t="str">
        <f aca="false">IFERROR(INDEX('Test Case Design &amp; Test Results'!$F$10:$F$189,MATCH(A24,'Test Case Design &amp; Test Results'!$B$10:$B$189,0))&amp;"","")</f>
        <v>ไม่มี violation</v>
      </c>
      <c r="I24" s="9" t="str">
        <f aca="false">IFERROR(INDEX('Test Case Design &amp; Test Results'!$G$10:$G$189,MATCH(A24,'Test Case Design &amp; Test Results'!$B$10:$B$189,0)),"")</f>
        <v>Pass</v>
      </c>
    </row>
    <row r="25" customFormat="false" ht="57.45" hidden="false" customHeight="false" outlineLevel="0" collapsed="false">
      <c r="A25" s="9" t="s">
        <v>305</v>
      </c>
      <c r="B25" s="9" t="s">
        <v>306</v>
      </c>
      <c r="C25" s="9" t="n">
        <v>10</v>
      </c>
      <c r="D25" s="9" t="s">
        <v>293</v>
      </c>
      <c r="E25" s="9" t="s">
        <v>294</v>
      </c>
      <c r="F25" s="9" t="s">
        <v>295</v>
      </c>
      <c r="G25" s="9" t="s">
        <v>307</v>
      </c>
      <c r="H25" s="9" t="str">
        <f aca="false">IFERROR(INDEX('Test Case Design &amp; Test Results'!$F$10:$F$189,MATCH(A25,'Test Case Design &amp; Test Results'!$B$10:$B$189,0))&amp;"","")</f>
        <v>violation 1 รายการ ที่ field name</v>
      </c>
      <c r="I25" s="9" t="str">
        <f aca="false">IFERROR(INDEX('Test Case Design &amp; Test Results'!$G$10:$G$189,MATCH(A25,'Test Case Design &amp; Test Results'!$B$10:$B$189,0)),"")</f>
        <v>Pass</v>
      </c>
    </row>
    <row r="26" customFormat="false" ht="57.45" hidden="false" customHeight="false" outlineLevel="0" collapsed="false">
      <c r="A26" s="9" t="s">
        <v>308</v>
      </c>
      <c r="B26" s="9" t="s">
        <v>309</v>
      </c>
      <c r="C26" s="9" t="n">
        <v>10</v>
      </c>
      <c r="D26" s="9" t="s">
        <v>293</v>
      </c>
      <c r="E26" s="9" t="s">
        <v>294</v>
      </c>
      <c r="F26" s="9" t="s">
        <v>295</v>
      </c>
      <c r="G26" s="9" t="s">
        <v>307</v>
      </c>
      <c r="H26" s="9" t="str">
        <f aca="false">IFERROR(INDEX('Test Case Design &amp; Test Results'!$F$10:$F$189,MATCH(A26,'Test Case Design &amp; Test Results'!$B$10:$B$189,0))&amp;"","")</f>
        <v>violation 1 รายการ ที่ field name</v>
      </c>
      <c r="I26" s="9" t="str">
        <f aca="false">IFERROR(INDEX('Test Case Design &amp; Test Results'!$G$10:$G$189,MATCH(A26,'Test Case Design &amp; Test Results'!$B$10:$B$189,0)),"")</f>
        <v>Pass</v>
      </c>
    </row>
    <row r="27" customFormat="false" ht="57.45" hidden="false" customHeight="false" outlineLevel="0" collapsed="false">
      <c r="A27" s="9" t="s">
        <v>310</v>
      </c>
      <c r="B27" s="9" t="s">
        <v>298</v>
      </c>
      <c r="C27" s="9" t="n">
        <v>10</v>
      </c>
      <c r="D27" s="9" t="s">
        <v>293</v>
      </c>
      <c r="E27" s="9" t="s">
        <v>294</v>
      </c>
      <c r="F27" s="9" t="s">
        <v>295</v>
      </c>
      <c r="G27" s="9" t="s">
        <v>307</v>
      </c>
      <c r="H27" s="9" t="str">
        <f aca="false">IFERROR(INDEX('Test Case Design &amp; Test Results'!$F$10:$F$189,MATCH(A27,'Test Case Design &amp; Test Results'!$B$10:$B$189,0))&amp;"","")</f>
        <v>violation 1 รายการ ที่ field name</v>
      </c>
      <c r="I27" s="9" t="str">
        <f aca="false">IFERROR(INDEX('Test Case Design &amp; Test Results'!$G$10:$G$189,MATCH(A27,'Test Case Design &amp; Test Results'!$B$10:$B$189,0)),"")</f>
        <v>Pass</v>
      </c>
    </row>
    <row r="28" customFormat="false" ht="57.45" hidden="false" customHeight="false" outlineLevel="0" collapsed="false">
      <c r="A28" s="9" t="s">
        <v>311</v>
      </c>
      <c r="B28" s="9" t="s">
        <v>312</v>
      </c>
      <c r="C28" s="9" t="n">
        <v>10</v>
      </c>
      <c r="D28" s="9" t="s">
        <v>293</v>
      </c>
      <c r="E28" s="9" t="s">
        <v>294</v>
      </c>
      <c r="F28" s="9" t="s">
        <v>295</v>
      </c>
      <c r="G28" s="9" t="s">
        <v>307</v>
      </c>
      <c r="H28" s="9" t="str">
        <f aca="false">IFERROR(INDEX('Test Case Design &amp; Test Results'!$F$10:$F$189,MATCH(A28,'Test Case Design &amp; Test Results'!$B$10:$B$189,0))&amp;"","")</f>
        <v>violation 1 รายการ ที่ field name</v>
      </c>
      <c r="I28" s="9" t="str">
        <f aca="false">IFERROR(INDEX('Test Case Design &amp; Test Results'!$G$10:$G$189,MATCH(A28,'Test Case Design &amp; Test Results'!$B$10:$B$189,0)),"")</f>
        <v>Pass</v>
      </c>
    </row>
    <row r="29" customFormat="false" ht="57.45" hidden="false" customHeight="false" outlineLevel="0" collapsed="false">
      <c r="A29" s="9" t="s">
        <v>313</v>
      </c>
      <c r="B29" s="9" t="s">
        <v>292</v>
      </c>
      <c r="C29" s="9" t="n">
        <v>0</v>
      </c>
      <c r="D29" s="9" t="s">
        <v>293</v>
      </c>
      <c r="E29" s="9" t="s">
        <v>294</v>
      </c>
      <c r="F29" s="9" t="s">
        <v>295</v>
      </c>
      <c r="G29" s="9" t="s">
        <v>314</v>
      </c>
      <c r="H29" s="9" t="str">
        <f aca="false">IFERROR(INDEX('Test Case Design &amp; Test Results'!$F$10:$F$189,MATCH(A29,'Test Case Design &amp; Test Results'!$B$10:$B$189,0))&amp;"","")</f>
        <v>violation 1 รายการ ที่ field capacity</v>
      </c>
      <c r="I29" s="9" t="str">
        <f aca="false">IFERROR(INDEX('Test Case Design &amp; Test Results'!$G$10:$G$189,MATCH(A29,'Test Case Design &amp; Test Results'!$B$10:$B$189,0)),"")</f>
        <v>Pass</v>
      </c>
    </row>
    <row r="30" customFormat="false" ht="57.45" hidden="false" customHeight="false" outlineLevel="0" collapsed="false">
      <c r="A30" s="9" t="s">
        <v>315</v>
      </c>
      <c r="B30" s="9" t="s">
        <v>292</v>
      </c>
      <c r="C30" s="9" t="n">
        <v>-1</v>
      </c>
      <c r="D30" s="9" t="s">
        <v>293</v>
      </c>
      <c r="E30" s="9" t="s">
        <v>294</v>
      </c>
      <c r="F30" s="9" t="s">
        <v>295</v>
      </c>
      <c r="G30" s="9" t="s">
        <v>314</v>
      </c>
      <c r="H30" s="9" t="str">
        <f aca="false">IFERROR(INDEX('Test Case Design &amp; Test Results'!$F$10:$F$189,MATCH(A30,'Test Case Design &amp; Test Results'!$B$10:$B$189,0))&amp;"","")</f>
        <v>violation 1 รายการ ที่ field capacity</v>
      </c>
      <c r="I30" s="9" t="str">
        <f aca="false">IFERROR(INDEX('Test Case Design &amp; Test Results'!$G$10:$G$189,MATCH(A30,'Test Case Design &amp; Test Results'!$B$10:$B$189,0)),"")</f>
        <v>Pass</v>
      </c>
    </row>
    <row r="31" customFormat="false" ht="57.45" hidden="false" customHeight="false" outlineLevel="0" collapsed="false">
      <c r="A31" s="9" t="s">
        <v>316</v>
      </c>
      <c r="B31" s="9" t="s">
        <v>292</v>
      </c>
      <c r="C31" s="9" t="s">
        <v>298</v>
      </c>
      <c r="D31" s="9" t="s">
        <v>293</v>
      </c>
      <c r="E31" s="9" t="s">
        <v>294</v>
      </c>
      <c r="F31" s="9" t="s">
        <v>295</v>
      </c>
      <c r="G31" s="9" t="s">
        <v>314</v>
      </c>
      <c r="H31" s="9" t="str">
        <f aca="false">IFERROR(INDEX('Test Case Design &amp; Test Results'!$F$10:$F$189,MATCH(A31,'Test Case Design &amp; Test Results'!$B$10:$B$189,0))&amp;"","")</f>
        <v>violation 1 รายการ ที่ field capacity</v>
      </c>
      <c r="I31" s="9" t="str">
        <f aca="false">IFERROR(INDEX('Test Case Design &amp; Test Results'!$G$10:$G$189,MATCH(A31,'Test Case Design &amp; Test Results'!$B$10:$B$189,0)),"")</f>
        <v>Pass</v>
      </c>
    </row>
    <row r="32" customFormat="false" ht="57.45" hidden="false" customHeight="false" outlineLevel="0" collapsed="false">
      <c r="A32" s="9" t="s">
        <v>317</v>
      </c>
      <c r="B32" s="9" t="s">
        <v>292</v>
      </c>
      <c r="C32" s="9" t="n">
        <v>10</v>
      </c>
      <c r="D32" s="9" t="s">
        <v>318</v>
      </c>
      <c r="E32" s="9" t="s">
        <v>294</v>
      </c>
      <c r="F32" s="9" t="s">
        <v>295</v>
      </c>
      <c r="G32" s="9" t="s">
        <v>319</v>
      </c>
      <c r="H32" s="9" t="str">
        <f aca="false">IFERROR(INDEX('Test Case Design &amp; Test Results'!$F$10:$F$189,MATCH(A32,'Test Case Design &amp; Test Results'!$B$10:$B$189,0))&amp;"","")</f>
        <v>violation 1 รายการ ที่ field floor</v>
      </c>
      <c r="I32" s="9" t="str">
        <f aca="false">IFERROR(INDEX('Test Case Design &amp; Test Results'!$G$10:$G$189,MATCH(A32,'Test Case Design &amp; Test Results'!$B$10:$B$189,0)),"")</f>
        <v>Pass</v>
      </c>
    </row>
    <row r="33" customFormat="false" ht="57.45" hidden="false" customHeight="false" outlineLevel="0" collapsed="false">
      <c r="A33" s="9" t="s">
        <v>320</v>
      </c>
      <c r="B33" s="9" t="s">
        <v>292</v>
      </c>
      <c r="C33" s="9" t="n">
        <v>10</v>
      </c>
      <c r="D33" s="9" t="s">
        <v>293</v>
      </c>
      <c r="E33" s="9" t="s">
        <v>298</v>
      </c>
      <c r="F33" s="9" t="s">
        <v>295</v>
      </c>
      <c r="G33" s="9" t="s">
        <v>321</v>
      </c>
      <c r="H33" s="9" t="str">
        <f aca="false">IFERROR(INDEX('Test Case Design &amp; Test Results'!$F$10:$F$189,MATCH(A33,'Test Case Design &amp; Test Results'!$B$10:$B$189,0))&amp;"","")</f>
        <v>violation 1 รายการ ที่ field roomType</v>
      </c>
      <c r="I33" s="9" t="str">
        <f aca="false">IFERROR(INDEX('Test Case Design &amp; Test Results'!$G$10:$G$189,MATCH(A33,'Test Case Design &amp; Test Results'!$B$10:$B$189,0)),"")</f>
        <v>Pass</v>
      </c>
    </row>
    <row r="34" customFormat="false" ht="57.45" hidden="false" customHeight="false" outlineLevel="0" collapsed="false">
      <c r="A34" s="9" t="s">
        <v>322</v>
      </c>
      <c r="B34" s="9" t="s">
        <v>292</v>
      </c>
      <c r="C34" s="9" t="n">
        <v>10</v>
      </c>
      <c r="D34" s="9" t="s">
        <v>293</v>
      </c>
      <c r="E34" s="9" t="s">
        <v>294</v>
      </c>
      <c r="F34" s="9" t="s">
        <v>298</v>
      </c>
      <c r="G34" s="9" t="s">
        <v>323</v>
      </c>
      <c r="H34" s="9" t="str">
        <f aca="false">IFERROR(INDEX('Test Case Design &amp; Test Results'!$F$10:$F$189,MATCH(A34,'Test Case Design &amp; Test Results'!$B$10:$B$189,0))&amp;"","")</f>
        <v>violation 1 รายการ ที่ field status</v>
      </c>
      <c r="I34" s="9" t="str">
        <f aca="false">IFERROR(INDEX('Test Case Design &amp; Test Results'!$G$10:$G$189,MATCH(A34,'Test Case Design &amp; Test Results'!$B$10:$B$189,0)),"")</f>
        <v>Pass</v>
      </c>
    </row>
  </sheetData>
  <mergeCells count="28">
    <mergeCell ref="A1:I1"/>
    <mergeCell ref="A2:D2"/>
    <mergeCell ref="F2:I2"/>
    <mergeCell ref="B3:D3"/>
    <mergeCell ref="G3:I3"/>
    <mergeCell ref="B4:D4"/>
    <mergeCell ref="G4:I4"/>
    <mergeCell ref="B5:D5"/>
    <mergeCell ref="G5:I5"/>
    <mergeCell ref="B6:D6"/>
    <mergeCell ref="G6:I6"/>
    <mergeCell ref="B7:D7"/>
    <mergeCell ref="G7:I7"/>
    <mergeCell ref="B8:D8"/>
    <mergeCell ref="G8:I8"/>
    <mergeCell ref="B9:D9"/>
    <mergeCell ref="G9:I9"/>
    <mergeCell ref="B10:D10"/>
    <mergeCell ref="G10:I10"/>
    <mergeCell ref="A12:I12"/>
    <mergeCell ref="B14:G14"/>
    <mergeCell ref="B15:G15"/>
    <mergeCell ref="B16:G16"/>
    <mergeCell ref="A18:A19"/>
    <mergeCell ref="B18:F18"/>
    <mergeCell ref="G18:G19"/>
    <mergeCell ref="H18:H19"/>
    <mergeCell ref="I18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9" min="8" style="0" width="16"/>
  </cols>
  <sheetData>
    <row r="1" customFormat="false" ht="19.7" hidden="false" customHeight="false" outlineLevel="0" collapsed="false">
      <c r="A1" s="27" t="s">
        <v>257</v>
      </c>
      <c r="B1" s="27"/>
      <c r="C1" s="27"/>
      <c r="D1" s="27"/>
      <c r="E1" s="27"/>
      <c r="F1" s="27"/>
      <c r="G1" s="27"/>
      <c r="H1" s="27"/>
      <c r="I1" s="27"/>
    </row>
    <row r="2" customFormat="false" ht="19.7" hidden="false" customHeight="false" outlineLevel="0" collapsed="false">
      <c r="A2" s="28" t="s">
        <v>258</v>
      </c>
      <c r="B2" s="28"/>
      <c r="C2" s="28"/>
      <c r="D2" s="28"/>
      <c r="F2" s="28" t="s">
        <v>259</v>
      </c>
      <c r="G2" s="28"/>
      <c r="H2" s="28"/>
      <c r="I2" s="28"/>
    </row>
    <row r="3" customFormat="false" ht="19.7" hidden="false" customHeight="false" outlineLevel="0" collapsed="false">
      <c r="A3" s="29" t="s">
        <v>260</v>
      </c>
      <c r="B3" s="29" t="s">
        <v>261</v>
      </c>
      <c r="C3" s="29"/>
      <c r="D3" s="29"/>
      <c r="F3" s="29" t="s">
        <v>260</v>
      </c>
      <c r="G3" s="29" t="s">
        <v>261</v>
      </c>
      <c r="H3" s="29"/>
      <c r="I3" s="29"/>
    </row>
    <row r="4" customFormat="false" ht="20.1" hidden="false" customHeight="false" outlineLevel="0" collapsed="false">
      <c r="A4" s="5" t="s">
        <v>324</v>
      </c>
      <c r="B4" s="5" t="s">
        <v>263</v>
      </c>
      <c r="C4" s="5"/>
      <c r="D4" s="5"/>
      <c r="F4" s="5" t="s">
        <v>325</v>
      </c>
      <c r="G4" s="5" t="s">
        <v>326</v>
      </c>
      <c r="H4" s="5"/>
      <c r="I4" s="5"/>
    </row>
    <row r="5" customFormat="false" ht="20.1" hidden="false" customHeight="false" outlineLevel="0" collapsed="false">
      <c r="A5" s="5" t="s">
        <v>327</v>
      </c>
      <c r="B5" s="5" t="s">
        <v>328</v>
      </c>
      <c r="C5" s="5"/>
      <c r="D5" s="5"/>
      <c r="F5" s="5" t="s">
        <v>329</v>
      </c>
      <c r="G5" s="5" t="s">
        <v>269</v>
      </c>
      <c r="H5" s="5"/>
      <c r="I5" s="5"/>
    </row>
    <row r="6" customFormat="false" ht="20.1" hidden="false" customHeight="false" outlineLevel="0" collapsed="false">
      <c r="A6" s="5" t="s">
        <v>330</v>
      </c>
      <c r="B6" s="5" t="s">
        <v>331</v>
      </c>
      <c r="C6" s="5"/>
      <c r="D6" s="5"/>
      <c r="F6" s="5" t="s">
        <v>332</v>
      </c>
      <c r="G6" s="5" t="s">
        <v>333</v>
      </c>
      <c r="H6" s="5"/>
      <c r="I6" s="5"/>
    </row>
    <row r="7" customFormat="false" ht="19.7" hidden="false" customHeight="false" outlineLevel="0" collapsed="false">
      <c r="A7" s="20"/>
      <c r="B7" s="20"/>
      <c r="C7" s="20"/>
      <c r="D7" s="20"/>
      <c r="F7" s="5" t="s">
        <v>334</v>
      </c>
      <c r="G7" s="5" t="s">
        <v>335</v>
      </c>
      <c r="H7" s="5"/>
      <c r="I7" s="5"/>
    </row>
    <row r="8" customFormat="false" ht="20.1" hidden="false" customHeight="false" outlineLevel="0" collapsed="false">
      <c r="A8" s="20"/>
      <c r="B8" s="20"/>
      <c r="C8" s="20"/>
      <c r="D8" s="20"/>
      <c r="F8" s="5" t="s">
        <v>336</v>
      </c>
      <c r="G8" s="5" t="s">
        <v>337</v>
      </c>
      <c r="H8" s="5"/>
      <c r="I8" s="5"/>
    </row>
    <row r="10" customFormat="false" ht="19.7" hidden="false" customHeight="false" outlineLevel="0" collapsed="false">
      <c r="A10" s="30" t="s">
        <v>94</v>
      </c>
      <c r="B10" s="30"/>
      <c r="C10" s="30"/>
      <c r="D10" s="30"/>
      <c r="E10" s="30"/>
      <c r="F10" s="30"/>
      <c r="G10" s="30"/>
    </row>
    <row r="12" customFormat="false" ht="20.1" hidden="false" customHeight="true" outlineLevel="0" collapsed="false">
      <c r="A12" s="31" t="s">
        <v>99</v>
      </c>
      <c r="B12" s="32" t="s">
        <v>228</v>
      </c>
      <c r="C12" s="32"/>
      <c r="D12" s="32"/>
      <c r="E12" s="32"/>
      <c r="F12" s="31" t="s">
        <v>101</v>
      </c>
      <c r="G12" s="21" t="s">
        <v>1</v>
      </c>
    </row>
    <row r="13" customFormat="false" ht="38.8" hidden="false" customHeight="true" outlineLevel="0" collapsed="false">
      <c r="A13" s="31" t="s">
        <v>103</v>
      </c>
      <c r="B13" s="32" t="s">
        <v>286</v>
      </c>
      <c r="C13" s="32"/>
      <c r="D13" s="32"/>
      <c r="E13" s="32"/>
      <c r="F13" s="31" t="s">
        <v>105</v>
      </c>
      <c r="G13" s="33" t="s">
        <v>3</v>
      </c>
    </row>
    <row r="14" customFormat="false" ht="38.8" hidden="false" customHeight="true" outlineLevel="0" collapsed="false">
      <c r="A14" s="31" t="s">
        <v>107</v>
      </c>
      <c r="B14" s="32" t="s">
        <v>108</v>
      </c>
      <c r="C14" s="32"/>
      <c r="D14" s="32"/>
      <c r="E14" s="32"/>
      <c r="F14" s="31" t="s">
        <v>109</v>
      </c>
      <c r="G14" s="21" t="s">
        <v>110</v>
      </c>
    </row>
    <row r="16" customFormat="false" ht="20.1" hidden="false" customHeight="true" outlineLevel="0" collapsed="false">
      <c r="A16" s="34" t="s">
        <v>113</v>
      </c>
      <c r="B16" s="34" t="s">
        <v>114</v>
      </c>
      <c r="C16" s="34"/>
      <c r="D16" s="34"/>
      <c r="E16" s="34" t="s">
        <v>115</v>
      </c>
      <c r="F16" s="34" t="s">
        <v>116</v>
      </c>
      <c r="G16" s="34" t="s">
        <v>117</v>
      </c>
    </row>
    <row r="17" customFormat="false" ht="38.8" hidden="false" customHeight="false" outlineLevel="0" collapsed="false">
      <c r="A17" s="34"/>
      <c r="B17" s="11" t="s">
        <v>287</v>
      </c>
      <c r="C17" s="11" t="s">
        <v>227</v>
      </c>
      <c r="D17" s="11" t="s">
        <v>338</v>
      </c>
      <c r="E17" s="34"/>
      <c r="F17" s="34"/>
      <c r="G17" s="34"/>
    </row>
    <row r="18" customFormat="false" ht="20.1" hidden="false" customHeight="false" outlineLevel="0" collapsed="false">
      <c r="A18" s="9" t="s">
        <v>339</v>
      </c>
      <c r="B18" s="9" t="s">
        <v>340</v>
      </c>
      <c r="C18" s="9" t="n">
        <v>5</v>
      </c>
      <c r="D18" s="9" t="s">
        <v>341</v>
      </c>
      <c r="E18" s="26" t="s">
        <v>296</v>
      </c>
      <c r="F18" s="9" t="str">
        <f aca="false">IFERROR(INDEX('Test Case Design &amp; Test Results'!$F$10:$F$189,MATCH(A18,'Test Case Design &amp; Test Results'!$B$10:$B$189,0))&amp;"","")</f>
        <v>ไม่มี violation</v>
      </c>
      <c r="G18" s="9" t="str">
        <f aca="false">IFERROR(INDEX('Test Case Design &amp; Test Results'!$G$10:$G$189,MATCH(A18,'Test Case Design &amp; Test Results'!$B$10:$B$189,0)),"")</f>
        <v>Pass</v>
      </c>
    </row>
    <row r="19" customFormat="false" ht="20.1" hidden="false" customHeight="false" outlineLevel="0" collapsed="false">
      <c r="A19" s="9" t="s">
        <v>342</v>
      </c>
      <c r="B19" s="9" t="s">
        <v>340</v>
      </c>
      <c r="C19" s="9" t="n">
        <v>0</v>
      </c>
      <c r="D19" s="9" t="s">
        <v>341</v>
      </c>
      <c r="E19" s="26" t="s">
        <v>296</v>
      </c>
      <c r="F19" s="9" t="str">
        <f aca="false">IFERROR(INDEX('Test Case Design &amp; Test Results'!$F$10:$F$189,MATCH(A19,'Test Case Design &amp; Test Results'!$B$10:$B$189,0))&amp;"","")</f>
        <v>ไม่มี violation</v>
      </c>
      <c r="G19" s="9" t="str">
        <f aca="false">IFERROR(INDEX('Test Case Design &amp; Test Results'!$G$10:$G$189,MATCH(A19,'Test Case Design &amp; Test Results'!$B$10:$B$189,0)),"")</f>
        <v>Pass</v>
      </c>
    </row>
    <row r="20" customFormat="false" ht="20.1" hidden="false" customHeight="false" outlineLevel="0" collapsed="false">
      <c r="A20" s="9" t="s">
        <v>343</v>
      </c>
      <c r="B20" s="9" t="s">
        <v>340</v>
      </c>
      <c r="C20" s="9" t="n">
        <v>5</v>
      </c>
      <c r="D20" s="9" t="s">
        <v>298</v>
      </c>
      <c r="E20" s="26" t="s">
        <v>296</v>
      </c>
      <c r="F20" s="9" t="str">
        <f aca="false">IFERROR(INDEX('Test Case Design &amp; Test Results'!$F$10:$F$189,MATCH(A20,'Test Case Design &amp; Test Results'!$B$10:$B$189,0))&amp;"","")</f>
        <v>ไม่มี violation</v>
      </c>
      <c r="G20" s="9" t="str">
        <f aca="false">IFERROR(INDEX('Test Case Design &amp; Test Results'!$G$10:$G$189,MATCH(A20,'Test Case Design &amp; Test Results'!$B$10:$B$189,0)),"")</f>
        <v>Pass</v>
      </c>
    </row>
    <row r="21" customFormat="false" ht="20.1" hidden="false" customHeight="false" outlineLevel="0" collapsed="false">
      <c r="A21" s="9" t="s">
        <v>344</v>
      </c>
      <c r="B21" s="9" t="s">
        <v>340</v>
      </c>
      <c r="C21" s="9" t="n">
        <v>5</v>
      </c>
      <c r="D21" s="9" t="s">
        <v>345</v>
      </c>
      <c r="E21" s="26" t="s">
        <v>296</v>
      </c>
      <c r="F21" s="9" t="str">
        <f aca="false">IFERROR(INDEX('Test Case Design &amp; Test Results'!$F$10:$F$189,MATCH(A21,'Test Case Design &amp; Test Results'!$B$10:$B$189,0))&amp;"","")</f>
        <v>ไม่มี violation</v>
      </c>
      <c r="G21" s="9" t="str">
        <f aca="false">IFERROR(INDEX('Test Case Design &amp; Test Results'!$G$10:$G$189,MATCH(A21,'Test Case Design &amp; Test Results'!$B$10:$B$189,0)),"")</f>
        <v>Pass</v>
      </c>
    </row>
    <row r="22" customFormat="false" ht="57.45" hidden="false" customHeight="false" outlineLevel="0" collapsed="false">
      <c r="A22" s="9" t="s">
        <v>346</v>
      </c>
      <c r="B22" s="9" t="s">
        <v>306</v>
      </c>
      <c r="C22" s="9" t="n">
        <v>5</v>
      </c>
      <c r="D22" s="9" t="s">
        <v>341</v>
      </c>
      <c r="E22" s="9" t="s">
        <v>307</v>
      </c>
      <c r="F22" s="9" t="str">
        <f aca="false">IFERROR(INDEX('Test Case Design &amp; Test Results'!$F$10:$F$189,MATCH(A22,'Test Case Design &amp; Test Results'!$B$10:$B$189,0))&amp;"","")</f>
        <v>violation 1 รายการ ที่ field name</v>
      </c>
      <c r="G22" s="9" t="str">
        <f aca="false">IFERROR(INDEX('Test Case Design &amp; Test Results'!$G$10:$G$189,MATCH(A22,'Test Case Design &amp; Test Results'!$B$10:$B$189,0)),"")</f>
        <v>Pass</v>
      </c>
    </row>
    <row r="23" customFormat="false" ht="57.45" hidden="false" customHeight="false" outlineLevel="0" collapsed="false">
      <c r="A23" s="9" t="s">
        <v>347</v>
      </c>
      <c r="B23" s="9" t="s">
        <v>309</v>
      </c>
      <c r="C23" s="9" t="n">
        <v>5</v>
      </c>
      <c r="D23" s="9" t="s">
        <v>341</v>
      </c>
      <c r="E23" s="9" t="s">
        <v>307</v>
      </c>
      <c r="F23" s="9" t="str">
        <f aca="false">IFERROR(INDEX('Test Case Design &amp; Test Results'!$F$10:$F$189,MATCH(A23,'Test Case Design &amp; Test Results'!$B$10:$B$189,0))&amp;"","")</f>
        <v>violation 1 รายการ ที่ field name</v>
      </c>
      <c r="G23" s="9" t="str">
        <f aca="false">IFERROR(INDEX('Test Case Design &amp; Test Results'!$G$10:$G$189,MATCH(A23,'Test Case Design &amp; Test Results'!$B$10:$B$189,0)),"")</f>
        <v>Pass</v>
      </c>
    </row>
    <row r="24" customFormat="false" ht="57.45" hidden="false" customHeight="false" outlineLevel="0" collapsed="false">
      <c r="A24" s="9" t="s">
        <v>348</v>
      </c>
      <c r="B24" s="9" t="s">
        <v>349</v>
      </c>
      <c r="C24" s="9" t="n">
        <v>5</v>
      </c>
      <c r="D24" s="9" t="s">
        <v>341</v>
      </c>
      <c r="E24" s="9" t="s">
        <v>307</v>
      </c>
      <c r="F24" s="9" t="str">
        <f aca="false">IFERROR(INDEX('Test Case Design &amp; Test Results'!$F$10:$F$189,MATCH(A24,'Test Case Design &amp; Test Results'!$B$10:$B$189,0))&amp;"","")</f>
        <v>violation 1 รายการ ที่ field name</v>
      </c>
      <c r="G24" s="9" t="str">
        <f aca="false">IFERROR(INDEX('Test Case Design &amp; Test Results'!$G$10:$G$189,MATCH(A24,'Test Case Design &amp; Test Results'!$B$10:$B$189,0)),"")</f>
        <v>Pass</v>
      </c>
    </row>
    <row r="25" customFormat="false" ht="57.45" hidden="false" customHeight="false" outlineLevel="0" collapsed="false">
      <c r="A25" s="9" t="s">
        <v>350</v>
      </c>
      <c r="B25" s="9" t="s">
        <v>340</v>
      </c>
      <c r="C25" s="9" t="n">
        <v>-1</v>
      </c>
      <c r="D25" s="9" t="s">
        <v>341</v>
      </c>
      <c r="E25" s="9" t="s">
        <v>351</v>
      </c>
      <c r="F25" s="9" t="str">
        <f aca="false">IFERROR(INDEX('Test Case Design &amp; Test Results'!$F$10:$F$189,MATCH(A25,'Test Case Design &amp; Test Results'!$B$10:$B$189,0))&amp;"","")</f>
        <v>violation 1 รายการ ที่ field totalQuantity</v>
      </c>
      <c r="G25" s="9" t="str">
        <f aca="false">IFERROR(INDEX('Test Case Design &amp; Test Results'!$G$10:$G$189,MATCH(A25,'Test Case Design &amp; Test Results'!$B$10:$B$189,0)),"")</f>
        <v>Pass</v>
      </c>
    </row>
    <row r="26" customFormat="false" ht="57.45" hidden="false" customHeight="false" outlineLevel="0" collapsed="false">
      <c r="A26" s="9" t="s">
        <v>352</v>
      </c>
      <c r="B26" s="9" t="s">
        <v>340</v>
      </c>
      <c r="C26" s="9" t="s">
        <v>298</v>
      </c>
      <c r="D26" s="9" t="s">
        <v>341</v>
      </c>
      <c r="E26" s="9" t="s">
        <v>351</v>
      </c>
      <c r="F26" s="9" t="str">
        <f aca="false">IFERROR(INDEX('Test Case Design &amp; Test Results'!$F$10:$F$189,MATCH(A26,'Test Case Design &amp; Test Results'!$B$10:$B$189,0))&amp;"","")</f>
        <v>violation 1 รายการ ที่ field totalQuantity</v>
      </c>
      <c r="G26" s="9" t="str">
        <f aca="false">IFERROR(INDEX('Test Case Design &amp; Test Results'!$G$10:$G$189,MATCH(A26,'Test Case Design &amp; Test Results'!$B$10:$B$189,0)),"")</f>
        <v>Pass</v>
      </c>
    </row>
    <row r="27" customFormat="false" ht="57.45" hidden="false" customHeight="false" outlineLevel="0" collapsed="false">
      <c r="A27" s="9" t="s">
        <v>353</v>
      </c>
      <c r="B27" s="9" t="s">
        <v>340</v>
      </c>
      <c r="C27" s="9" t="n">
        <v>5</v>
      </c>
      <c r="D27" s="9" t="s">
        <v>354</v>
      </c>
      <c r="E27" s="9" t="s">
        <v>355</v>
      </c>
      <c r="F27" s="9" t="str">
        <f aca="false">IFERROR(INDEX('Test Case Design &amp; Test Results'!$F$10:$F$189,MATCH(A27,'Test Case Design &amp; Test Results'!$B$10:$B$189,0))&amp;"","")</f>
        <v>violation 1 รายการ ที่ field category</v>
      </c>
      <c r="G27" s="9" t="str">
        <f aca="false">IFERROR(INDEX('Test Case Design &amp; Test Results'!$G$10:$G$189,MATCH(A27,'Test Case Design &amp; Test Results'!$B$10:$B$189,0)),"")</f>
        <v>Pass</v>
      </c>
    </row>
  </sheetData>
  <mergeCells count="24">
    <mergeCell ref="A1:I1"/>
    <mergeCell ref="A2:D2"/>
    <mergeCell ref="F2:I2"/>
    <mergeCell ref="B3:D3"/>
    <mergeCell ref="G3:I3"/>
    <mergeCell ref="B4:D4"/>
    <mergeCell ref="G4:I4"/>
    <mergeCell ref="B5:D5"/>
    <mergeCell ref="G5:I5"/>
    <mergeCell ref="B6:D6"/>
    <mergeCell ref="G6:I6"/>
    <mergeCell ref="B7:D7"/>
    <mergeCell ref="G7:I7"/>
    <mergeCell ref="B8:D8"/>
    <mergeCell ref="G8:I8"/>
    <mergeCell ref="A10:G10"/>
    <mergeCell ref="B12:E12"/>
    <mergeCell ref="B13:E13"/>
    <mergeCell ref="B14:E14"/>
    <mergeCell ref="A16:A17"/>
    <mergeCell ref="B16:D16"/>
    <mergeCell ref="E16:E17"/>
    <mergeCell ref="F16:F17"/>
    <mergeCell ref="G16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2"/>
  </cols>
  <sheetData>
    <row r="1" customFormat="false" ht="20.1" hidden="false" customHeight="false" outlineLevel="0" collapsed="false">
      <c r="A1" s="35" t="s">
        <v>356</v>
      </c>
      <c r="B1" s="35"/>
      <c r="C1" s="35"/>
      <c r="D1" s="35"/>
      <c r="E1" s="35"/>
    </row>
    <row r="2" customFormat="false" ht="20.1" hidden="false" customHeight="false" outlineLevel="0" collapsed="false">
      <c r="A2" s="4" t="s">
        <v>261</v>
      </c>
      <c r="B2" s="9" t="s">
        <v>357</v>
      </c>
      <c r="C2" s="9" t="s">
        <v>358</v>
      </c>
      <c r="D2" s="9" t="s">
        <v>359</v>
      </c>
      <c r="E2" s="9" t="s">
        <v>360</v>
      </c>
    </row>
    <row r="3" customFormat="false" ht="20.1" hidden="false" customHeight="false" outlineLevel="0" collapsed="false">
      <c r="A3" s="5" t="s">
        <v>361</v>
      </c>
      <c r="B3" s="9" t="s">
        <v>362</v>
      </c>
      <c r="C3" s="9" t="s">
        <v>362</v>
      </c>
      <c r="D3" s="9" t="s">
        <v>363</v>
      </c>
      <c r="E3" s="9" t="s">
        <v>363</v>
      </c>
    </row>
    <row r="4" customFormat="false" ht="20.1" hidden="false" customHeight="false" outlineLevel="0" collapsed="false">
      <c r="A4" s="5" t="s">
        <v>364</v>
      </c>
      <c r="B4" s="9" t="s">
        <v>362</v>
      </c>
      <c r="C4" s="9" t="s">
        <v>363</v>
      </c>
      <c r="D4" s="9" t="s">
        <v>362</v>
      </c>
      <c r="E4" s="9" t="s">
        <v>363</v>
      </c>
    </row>
    <row r="5" customFormat="false" ht="19.7" hidden="false" customHeight="false" outlineLevel="0" collapsed="false">
      <c r="A5" s="4" t="s">
        <v>365</v>
      </c>
      <c r="B5" s="36"/>
      <c r="C5" s="36"/>
      <c r="D5" s="36"/>
      <c r="E5" s="36"/>
    </row>
    <row r="6" customFormat="false" ht="20.1" hidden="false" customHeight="false" outlineLevel="0" collapsed="false">
      <c r="A6" s="5" t="s">
        <v>366</v>
      </c>
      <c r="B6" s="9" t="s">
        <v>367</v>
      </c>
      <c r="C6" s="9"/>
      <c r="D6" s="9"/>
      <c r="E6" s="9"/>
    </row>
    <row r="7" customFormat="false" ht="20.1" hidden="false" customHeight="false" outlineLevel="0" collapsed="false">
      <c r="A7" s="5" t="s">
        <v>368</v>
      </c>
      <c r="B7" s="9"/>
      <c r="C7" s="9" t="s">
        <v>367</v>
      </c>
      <c r="D7" s="9"/>
      <c r="E7" s="9"/>
    </row>
    <row r="8" customFormat="false" ht="20.1" hidden="false" customHeight="false" outlineLevel="0" collapsed="false">
      <c r="A8" s="5" t="s">
        <v>369</v>
      </c>
      <c r="B8" s="9"/>
      <c r="C8" s="9"/>
      <c r="D8" s="9"/>
      <c r="E8" s="9" t="s">
        <v>367</v>
      </c>
    </row>
    <row r="9" customFormat="false" ht="20.1" hidden="false" customHeight="false" outlineLevel="0" collapsed="false">
      <c r="A9" s="5" t="s">
        <v>370</v>
      </c>
      <c r="B9" s="9"/>
      <c r="C9" s="9"/>
      <c r="D9" s="9" t="s">
        <v>367</v>
      </c>
      <c r="E9" s="9"/>
    </row>
    <row r="12" customFormat="false" ht="20.1" hidden="false" customHeight="false" outlineLevel="0" collapsed="false">
      <c r="A12" s="35" t="s">
        <v>371</v>
      </c>
      <c r="B12" s="35"/>
      <c r="C12" s="35"/>
      <c r="D12" s="35"/>
    </row>
    <row r="13" customFormat="false" ht="20.1" hidden="false" customHeight="false" outlineLevel="0" collapsed="false">
      <c r="A13" s="4" t="s">
        <v>261</v>
      </c>
      <c r="B13" s="9" t="s">
        <v>357</v>
      </c>
      <c r="C13" s="9" t="s">
        <v>358</v>
      </c>
      <c r="D13" s="9" t="s">
        <v>359</v>
      </c>
    </row>
    <row r="14" customFormat="false" ht="20.1" hidden="false" customHeight="false" outlineLevel="0" collapsed="false">
      <c r="A14" s="5" t="s">
        <v>361</v>
      </c>
      <c r="B14" s="9" t="s">
        <v>362</v>
      </c>
      <c r="C14" s="9" t="s">
        <v>362</v>
      </c>
      <c r="D14" s="9" t="s">
        <v>363</v>
      </c>
    </row>
    <row r="15" customFormat="false" ht="20.1" hidden="false" customHeight="false" outlineLevel="0" collapsed="false">
      <c r="A15" s="5" t="s">
        <v>372</v>
      </c>
      <c r="B15" s="9" t="s">
        <v>362</v>
      </c>
      <c r="C15" s="9" t="s">
        <v>363</v>
      </c>
      <c r="D15" s="9" t="s">
        <v>40</v>
      </c>
    </row>
    <row r="16" customFormat="false" ht="19.7" hidden="false" customHeight="false" outlineLevel="0" collapsed="false">
      <c r="A16" s="4" t="s">
        <v>365</v>
      </c>
      <c r="B16" s="36"/>
      <c r="C16" s="36"/>
      <c r="D16" s="36"/>
    </row>
    <row r="17" customFormat="false" ht="20.1" hidden="false" customHeight="false" outlineLevel="0" collapsed="false">
      <c r="A17" s="5" t="s">
        <v>373</v>
      </c>
      <c r="B17" s="9" t="s">
        <v>367</v>
      </c>
      <c r="C17" s="9"/>
      <c r="D17" s="9"/>
    </row>
    <row r="18" customFormat="false" ht="20.1" hidden="false" customHeight="false" outlineLevel="0" collapsed="false">
      <c r="A18" s="5" t="s">
        <v>374</v>
      </c>
      <c r="B18" s="9"/>
      <c r="C18" s="9" t="s">
        <v>367</v>
      </c>
      <c r="D18" s="9"/>
    </row>
    <row r="19" customFormat="false" ht="20.1" hidden="false" customHeight="false" outlineLevel="0" collapsed="false">
      <c r="A19" s="5" t="s">
        <v>369</v>
      </c>
      <c r="B19" s="9"/>
      <c r="C19" s="9"/>
      <c r="D19" s="9" t="s">
        <v>367</v>
      </c>
    </row>
    <row r="20" customFormat="false" ht="19.7" hidden="false" customHeight="false" outlineLevel="0" collapsed="false">
      <c r="A20" s="5" t="s">
        <v>370</v>
      </c>
      <c r="B20" s="9"/>
      <c r="C20" s="9"/>
      <c r="D20" s="9"/>
    </row>
    <row r="23" customFormat="false" ht="20.1" hidden="false" customHeight="false" outlineLevel="0" collapsed="false">
      <c r="A23" s="35" t="s">
        <v>375</v>
      </c>
      <c r="B23" s="35"/>
      <c r="C23" s="35"/>
      <c r="D23" s="35"/>
      <c r="E23" s="35"/>
    </row>
    <row r="24" customFormat="false" ht="20.1" hidden="false" customHeight="false" outlineLevel="0" collapsed="false">
      <c r="A24" s="4" t="s">
        <v>261</v>
      </c>
      <c r="B24" s="9" t="s">
        <v>357</v>
      </c>
      <c r="C24" s="9" t="s">
        <v>358</v>
      </c>
      <c r="D24" s="9" t="s">
        <v>359</v>
      </c>
      <c r="E24" s="9" t="s">
        <v>360</v>
      </c>
    </row>
    <row r="25" customFormat="false" ht="20.1" hidden="false" customHeight="false" outlineLevel="0" collapsed="false">
      <c r="A25" s="5" t="s">
        <v>376</v>
      </c>
      <c r="B25" s="9" t="s">
        <v>362</v>
      </c>
      <c r="C25" s="9" t="s">
        <v>362</v>
      </c>
      <c r="D25" s="9" t="s">
        <v>363</v>
      </c>
      <c r="E25" s="9" t="s">
        <v>363</v>
      </c>
    </row>
    <row r="26" customFormat="false" ht="20.1" hidden="false" customHeight="false" outlineLevel="0" collapsed="false">
      <c r="A26" s="5" t="s">
        <v>377</v>
      </c>
      <c r="B26" s="9" t="s">
        <v>362</v>
      </c>
      <c r="C26" s="9" t="s">
        <v>363</v>
      </c>
      <c r="D26" s="9" t="s">
        <v>362</v>
      </c>
      <c r="E26" s="9" t="s">
        <v>363</v>
      </c>
    </row>
    <row r="27" customFormat="false" ht="19.7" hidden="false" customHeight="false" outlineLevel="0" collapsed="false">
      <c r="A27" s="4" t="s">
        <v>365</v>
      </c>
      <c r="B27" s="36"/>
      <c r="C27" s="36"/>
      <c r="D27" s="36"/>
      <c r="E27" s="36"/>
    </row>
    <row r="28" customFormat="false" ht="20.1" hidden="false" customHeight="false" outlineLevel="0" collapsed="false">
      <c r="A28" s="5" t="s">
        <v>378</v>
      </c>
      <c r="B28" s="9" t="s">
        <v>367</v>
      </c>
      <c r="C28" s="9"/>
      <c r="D28" s="9"/>
      <c r="E28" s="9"/>
    </row>
    <row r="29" customFormat="false" ht="20.1" hidden="false" customHeight="false" outlineLevel="0" collapsed="false">
      <c r="A29" s="5" t="s">
        <v>379</v>
      </c>
      <c r="B29" s="9"/>
      <c r="C29" s="9" t="s">
        <v>367</v>
      </c>
      <c r="D29" s="9"/>
      <c r="E29" s="9"/>
    </row>
    <row r="30" customFormat="false" ht="20.1" hidden="false" customHeight="false" outlineLevel="0" collapsed="false">
      <c r="A30" s="5" t="s">
        <v>380</v>
      </c>
      <c r="B30" s="9"/>
      <c r="C30" s="9"/>
      <c r="D30" s="9"/>
      <c r="E30" s="9" t="s">
        <v>367</v>
      </c>
    </row>
    <row r="31" customFormat="false" ht="20.1" hidden="false" customHeight="false" outlineLevel="0" collapsed="false">
      <c r="A31" s="5" t="s">
        <v>370</v>
      </c>
      <c r="B31" s="9"/>
      <c r="C31" s="9"/>
      <c r="D31" s="9" t="s">
        <v>367</v>
      </c>
      <c r="E31" s="9"/>
    </row>
    <row r="34" customFormat="false" ht="20.1" hidden="false" customHeight="false" outlineLevel="0" collapsed="false">
      <c r="A34" s="35" t="s">
        <v>381</v>
      </c>
      <c r="B34" s="35"/>
      <c r="C34" s="35"/>
    </row>
    <row r="35" customFormat="false" ht="20.1" hidden="false" customHeight="false" outlineLevel="0" collapsed="false">
      <c r="A35" s="4" t="s">
        <v>261</v>
      </c>
      <c r="B35" s="9" t="s">
        <v>357</v>
      </c>
      <c r="C35" s="9" t="s">
        <v>358</v>
      </c>
    </row>
    <row r="36" customFormat="false" ht="20.1" hidden="false" customHeight="false" outlineLevel="0" collapsed="false">
      <c r="A36" s="5" t="s">
        <v>382</v>
      </c>
      <c r="B36" s="9" t="s">
        <v>362</v>
      </c>
      <c r="C36" s="9" t="s">
        <v>363</v>
      </c>
    </row>
    <row r="37" customFormat="false" ht="19.7" hidden="false" customHeight="false" outlineLevel="0" collapsed="false">
      <c r="A37" s="4" t="s">
        <v>365</v>
      </c>
      <c r="B37" s="36"/>
      <c r="C37" s="36"/>
    </row>
    <row r="38" customFormat="false" ht="20.1" hidden="false" customHeight="false" outlineLevel="0" collapsed="false">
      <c r="A38" s="5" t="s">
        <v>383</v>
      </c>
      <c r="B38" s="9" t="s">
        <v>367</v>
      </c>
      <c r="C38" s="9"/>
    </row>
    <row r="39" customFormat="false" ht="20.1" hidden="false" customHeight="false" outlineLevel="0" collapsed="false">
      <c r="A39" s="5" t="s">
        <v>384</v>
      </c>
      <c r="B39" s="9"/>
      <c r="C39" s="9" t="s">
        <v>367</v>
      </c>
    </row>
    <row r="40" customFormat="false" ht="19.7" hidden="false" customHeight="false" outlineLevel="0" collapsed="false">
      <c r="A40" s="5" t="s">
        <v>370</v>
      </c>
      <c r="B40" s="9"/>
      <c r="C40" s="9"/>
    </row>
  </sheetData>
  <mergeCells count="4">
    <mergeCell ref="A1:E1"/>
    <mergeCell ref="A12:D12"/>
    <mergeCell ref="A23:E23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2"/>
  </cols>
  <sheetData>
    <row r="1" customFormat="false" ht="20.1" hidden="false" customHeight="false" outlineLevel="0" collapsed="false">
      <c r="A1" s="35" t="s">
        <v>385</v>
      </c>
      <c r="B1" s="35"/>
      <c r="C1" s="35"/>
      <c r="D1" s="35"/>
    </row>
    <row r="2" customFormat="false" ht="19.7" hidden="false" customHeight="false" outlineLevel="0" collapsed="false">
      <c r="A2" s="31" t="s">
        <v>386</v>
      </c>
    </row>
    <row r="3" customFormat="false" ht="19.7" hidden="false" customHeight="false" outlineLevel="0" collapsed="false">
      <c r="A3" s="21" t="s">
        <v>387</v>
      </c>
    </row>
    <row r="4" customFormat="false" ht="19.7" hidden="false" customHeight="false" outlineLevel="0" collapsed="false">
      <c r="A4" s="21" t="s">
        <v>388</v>
      </c>
    </row>
    <row r="5" customFormat="false" ht="20.1" hidden="false" customHeight="false" outlineLevel="0" collapsed="false">
      <c r="A5" s="21" t="s">
        <v>389</v>
      </c>
    </row>
    <row r="7" customFormat="false" ht="20.1" hidden="false" customHeight="false" outlineLevel="0" collapsed="false">
      <c r="A7" s="4" t="s">
        <v>261</v>
      </c>
      <c r="B7" s="9" t="s">
        <v>357</v>
      </c>
      <c r="C7" s="9" t="s">
        <v>358</v>
      </c>
      <c r="D7" s="9" t="s">
        <v>359</v>
      </c>
    </row>
    <row r="8" customFormat="false" ht="20.1" hidden="false" customHeight="false" outlineLevel="0" collapsed="false">
      <c r="A8" s="5" t="s">
        <v>390</v>
      </c>
      <c r="B8" s="9" t="s">
        <v>262</v>
      </c>
      <c r="C8" s="9" t="s">
        <v>264</v>
      </c>
      <c r="D8" s="9" t="s">
        <v>268</v>
      </c>
    </row>
    <row r="9" customFormat="false" ht="19.7" hidden="false" customHeight="false" outlineLevel="0" collapsed="false">
      <c r="A9" s="4" t="s">
        <v>365</v>
      </c>
      <c r="B9" s="36"/>
      <c r="C9" s="36"/>
      <c r="D9" s="36"/>
    </row>
    <row r="10" customFormat="false" ht="20.1" hidden="false" customHeight="false" outlineLevel="0" collapsed="false">
      <c r="A10" s="5" t="s">
        <v>391</v>
      </c>
      <c r="B10" s="9" t="s">
        <v>367</v>
      </c>
      <c r="C10" s="9"/>
      <c r="D10" s="9"/>
    </row>
    <row r="11" customFormat="false" ht="20.1" hidden="false" customHeight="false" outlineLevel="0" collapsed="false">
      <c r="A11" s="5" t="s">
        <v>392</v>
      </c>
      <c r="B11" s="9"/>
      <c r="C11" s="9" t="s">
        <v>367</v>
      </c>
      <c r="D11" s="9"/>
    </row>
    <row r="12" customFormat="false" ht="20.1" hidden="false" customHeight="false" outlineLevel="0" collapsed="false">
      <c r="A12" s="5" t="s">
        <v>380</v>
      </c>
      <c r="B12" s="9"/>
      <c r="C12" s="9"/>
      <c r="D12" s="9" t="s">
        <v>367</v>
      </c>
    </row>
    <row r="13" customFormat="false" ht="19.7" hidden="false" customHeight="false" outlineLevel="0" collapsed="false">
      <c r="A13" s="5" t="s">
        <v>370</v>
      </c>
      <c r="B13" s="9"/>
      <c r="C13" s="9"/>
      <c r="D13" s="9"/>
    </row>
    <row r="16" customFormat="false" ht="20.1" hidden="false" customHeight="false" outlineLevel="0" collapsed="false">
      <c r="A16" s="35" t="s">
        <v>393</v>
      </c>
      <c r="B16" s="35"/>
      <c r="C16" s="35"/>
      <c r="D16" s="35"/>
      <c r="E16" s="35"/>
      <c r="F16" s="35"/>
    </row>
    <row r="17" customFormat="false" ht="19.7" hidden="false" customHeight="false" outlineLevel="0" collapsed="false">
      <c r="A17" s="31" t="s">
        <v>386</v>
      </c>
    </row>
    <row r="18" customFormat="false" ht="20.1" hidden="false" customHeight="false" outlineLevel="0" collapsed="false">
      <c r="A18" s="21" t="s">
        <v>394</v>
      </c>
    </row>
    <row r="19" customFormat="false" ht="20.1" hidden="false" customHeight="false" outlineLevel="0" collapsed="false">
      <c r="A19" s="21" t="s">
        <v>395</v>
      </c>
    </row>
    <row r="20" customFormat="false" ht="20.1" hidden="false" customHeight="false" outlineLevel="0" collapsed="false">
      <c r="A20" s="21" t="s">
        <v>396</v>
      </c>
    </row>
    <row r="21" customFormat="false" ht="19.7" hidden="false" customHeight="false" outlineLevel="0" collapsed="false">
      <c r="A21" s="21" t="s">
        <v>397</v>
      </c>
    </row>
    <row r="22" customFormat="false" ht="19.7" hidden="false" customHeight="false" outlineLevel="0" collapsed="false">
      <c r="A22" s="21" t="s">
        <v>398</v>
      </c>
    </row>
    <row r="23" customFormat="false" ht="19.7" hidden="false" customHeight="false" outlineLevel="0" collapsed="false">
      <c r="A23" s="21" t="s">
        <v>399</v>
      </c>
    </row>
    <row r="25" customFormat="false" ht="20.1" hidden="false" customHeight="false" outlineLevel="0" collapsed="false">
      <c r="A25" s="4" t="s">
        <v>261</v>
      </c>
      <c r="B25" s="9" t="s">
        <v>357</v>
      </c>
      <c r="C25" s="9" t="s">
        <v>358</v>
      </c>
      <c r="D25" s="9" t="s">
        <v>359</v>
      </c>
      <c r="E25" s="9" t="s">
        <v>360</v>
      </c>
      <c r="F25" s="9" t="s">
        <v>400</v>
      </c>
    </row>
    <row r="26" customFormat="false" ht="20.1" hidden="false" customHeight="false" outlineLevel="0" collapsed="false">
      <c r="A26" s="5" t="s">
        <v>401</v>
      </c>
      <c r="B26" s="9" t="s">
        <v>262</v>
      </c>
      <c r="C26" s="9" t="s">
        <v>264</v>
      </c>
      <c r="D26" s="9" t="s">
        <v>268</v>
      </c>
      <c r="E26" s="9" t="s">
        <v>262</v>
      </c>
      <c r="F26" s="9" t="s">
        <v>262</v>
      </c>
    </row>
    <row r="27" customFormat="false" ht="20.1" hidden="false" customHeight="false" outlineLevel="0" collapsed="false">
      <c r="A27" s="5" t="s">
        <v>402</v>
      </c>
      <c r="B27" s="9" t="s">
        <v>266</v>
      </c>
      <c r="C27" s="9" t="s">
        <v>40</v>
      </c>
      <c r="D27" s="9" t="s">
        <v>40</v>
      </c>
      <c r="E27" s="9" t="s">
        <v>272</v>
      </c>
      <c r="F27" s="9" t="s">
        <v>276</v>
      </c>
    </row>
    <row r="28" customFormat="false" ht="19.7" hidden="false" customHeight="false" outlineLevel="0" collapsed="false">
      <c r="A28" s="4" t="s">
        <v>365</v>
      </c>
      <c r="B28" s="36"/>
      <c r="C28" s="36"/>
      <c r="D28" s="36"/>
      <c r="E28" s="36"/>
      <c r="F28" s="36"/>
    </row>
    <row r="29" customFormat="false" ht="20.1" hidden="false" customHeight="false" outlineLevel="0" collapsed="false">
      <c r="A29" s="5" t="s">
        <v>403</v>
      </c>
      <c r="B29" s="9" t="s">
        <v>367</v>
      </c>
      <c r="C29" s="9"/>
      <c r="D29" s="9"/>
      <c r="E29" s="9"/>
      <c r="F29" s="9"/>
    </row>
    <row r="30" customFormat="false" ht="20.1" hidden="false" customHeight="false" outlineLevel="0" collapsed="false">
      <c r="A30" s="5" t="s">
        <v>404</v>
      </c>
      <c r="B30" s="9"/>
      <c r="C30" s="9" t="s">
        <v>367</v>
      </c>
      <c r="D30" s="9" t="s">
        <v>367</v>
      </c>
      <c r="E30" s="9" t="s">
        <v>367</v>
      </c>
      <c r="F30" s="9" t="s">
        <v>367</v>
      </c>
    </row>
    <row r="31" customFormat="false" ht="19.7" hidden="false" customHeight="false" outlineLevel="0" collapsed="false">
      <c r="A31" s="5" t="s">
        <v>370</v>
      </c>
      <c r="B31" s="9"/>
      <c r="C31" s="9"/>
      <c r="D31" s="9"/>
      <c r="E31" s="9"/>
      <c r="F31" s="9"/>
    </row>
  </sheetData>
  <mergeCells count="2">
    <mergeCell ref="A1:D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22.05" hidden="false" customHeight="false" outlineLevel="0" collapsed="false">
      <c r="A1" s="22" t="s">
        <v>94</v>
      </c>
      <c r="B1" s="22"/>
      <c r="C1" s="22"/>
      <c r="D1" s="22"/>
      <c r="E1" s="22"/>
      <c r="F1" s="22"/>
      <c r="G1" s="22"/>
      <c r="H1" s="22"/>
    </row>
    <row r="3" customFormat="false" ht="30" hidden="false" customHeight="true" outlineLevel="0" collapsed="false">
      <c r="A3" s="1" t="s">
        <v>99</v>
      </c>
      <c r="B3" s="24" t="s">
        <v>405</v>
      </c>
      <c r="C3" s="24"/>
      <c r="D3" s="24"/>
      <c r="E3" s="24"/>
      <c r="F3" s="1" t="s">
        <v>101</v>
      </c>
      <c r="G3" s="2" t="s">
        <v>1</v>
      </c>
    </row>
    <row r="4" customFormat="false" ht="30" hidden="false" customHeight="true" outlineLevel="0" collapsed="false">
      <c r="A4" s="1" t="s">
        <v>103</v>
      </c>
      <c r="B4" s="24" t="s">
        <v>406</v>
      </c>
      <c r="C4" s="24"/>
      <c r="D4" s="24"/>
      <c r="E4" s="24"/>
      <c r="F4" s="1" t="s">
        <v>105</v>
      </c>
      <c r="G4" s="3" t="s">
        <v>3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24"/>
      <c r="F5" s="1" t="s">
        <v>109</v>
      </c>
      <c r="G5" s="2" t="s">
        <v>110</v>
      </c>
    </row>
    <row r="7" customFormat="false" ht="23.1" hidden="false" customHeight="true" outlineLevel="0" collapsed="false">
      <c r="A7" s="25" t="s">
        <v>407</v>
      </c>
      <c r="B7" s="25" t="s">
        <v>113</v>
      </c>
      <c r="C7" s="25" t="s">
        <v>114</v>
      </c>
      <c r="D7" s="25"/>
      <c r="E7" s="25"/>
      <c r="F7" s="25" t="s">
        <v>115</v>
      </c>
      <c r="G7" s="25" t="s">
        <v>116</v>
      </c>
      <c r="H7" s="25" t="s">
        <v>117</v>
      </c>
    </row>
    <row r="8" customFormat="false" ht="44.75" hidden="false" customHeight="false" outlineLevel="0" collapsed="false">
      <c r="A8" s="25"/>
      <c r="B8" s="25"/>
      <c r="C8" s="19" t="s">
        <v>408</v>
      </c>
      <c r="D8" s="19" t="s">
        <v>409</v>
      </c>
      <c r="E8" s="19" t="s">
        <v>261</v>
      </c>
      <c r="F8" s="25"/>
      <c r="G8" s="25"/>
      <c r="H8" s="25"/>
    </row>
    <row r="9" customFormat="false" ht="20.1" hidden="false" customHeight="false" outlineLevel="0" collapsed="false">
      <c r="A9" s="35" t="s">
        <v>356</v>
      </c>
      <c r="B9" s="35"/>
      <c r="C9" s="35"/>
      <c r="D9" s="35"/>
      <c r="E9" s="35"/>
      <c r="F9" s="35"/>
      <c r="G9" s="35"/>
      <c r="H9" s="35"/>
    </row>
    <row r="10" customFormat="false" ht="57.45" hidden="false" customHeight="false" outlineLevel="0" collapsed="false">
      <c r="A10" s="9" t="s">
        <v>410</v>
      </c>
      <c r="B10" s="9" t="s">
        <v>411</v>
      </c>
      <c r="C10" s="10" t="s">
        <v>412</v>
      </c>
      <c r="D10" s="10" t="s">
        <v>413</v>
      </c>
      <c r="E10" s="14" t="s">
        <v>414</v>
      </c>
      <c r="F10" s="10" t="s">
        <v>415</v>
      </c>
      <c r="G10" s="10" t="str">
        <f aca="false">IFERROR(INDEX('Test Case Design &amp; Test Results'!$F$10:$F$189,MATCH(B10,'Test Case Design &amp; Test Results'!$B$10:$B$189,0))&amp;"","")</f>
        <v>throw ConflictException</v>
      </c>
      <c r="H10" s="9" t="str">
        <f aca="false">IFERROR(INDEX('Test Case Design &amp; Test Results'!$G$10:$G$189,MATCH(B10,'Test Case Design &amp; Test Results'!$B$10:$B$189,0)),"")</f>
        <v>Pass</v>
      </c>
    </row>
    <row r="11" customFormat="false" ht="57.45" hidden="false" customHeight="false" outlineLevel="0" collapsed="false">
      <c r="A11" s="9" t="s">
        <v>410</v>
      </c>
      <c r="B11" s="9" t="s">
        <v>416</v>
      </c>
      <c r="C11" s="10" t="s">
        <v>417</v>
      </c>
      <c r="D11" s="10" t="s">
        <v>413</v>
      </c>
      <c r="E11" s="14" t="s">
        <v>418</v>
      </c>
      <c r="F11" s="10" t="s">
        <v>415</v>
      </c>
      <c r="G11" s="10" t="str">
        <f aca="false">IFERROR(INDEX('Test Case Design &amp; Test Results'!$F$10:$F$189,MATCH(B11,'Test Case Design &amp; Test Results'!$B$10:$B$189,0))&amp;"","")</f>
        <v>throw ConflictException</v>
      </c>
      <c r="H11" s="9" t="str">
        <f aca="false">IFERROR(INDEX('Test Case Design &amp; Test Results'!$G$10:$G$189,MATCH(B11,'Test Case Design &amp; Test Results'!$B$10:$B$189,0)),"")</f>
        <v>Pass</v>
      </c>
    </row>
    <row r="12" customFormat="false" ht="38.8" hidden="false" customHeight="false" outlineLevel="0" collapsed="false">
      <c r="A12" s="9" t="s">
        <v>410</v>
      </c>
      <c r="B12" s="9" t="s">
        <v>419</v>
      </c>
      <c r="C12" s="10" t="s">
        <v>420</v>
      </c>
      <c r="D12" s="10" t="s">
        <v>421</v>
      </c>
      <c r="E12" s="14" t="s">
        <v>414</v>
      </c>
      <c r="F12" s="10" t="s">
        <v>422</v>
      </c>
      <c r="G12" s="10" t="str">
        <f aca="false">IFERROR(INDEX('Test Case Design &amp; Test Results'!$F$10:$F$189,MATCH(B12,'Test Case Design &amp; Test Results'!$B$10:$B$189,0))&amp;"","")</f>
        <v>409 Conflict</v>
      </c>
      <c r="H12" s="9" t="str">
        <f aca="false">IFERROR(INDEX('Test Case Design &amp; Test Results'!$G$10:$G$189,MATCH(B12,'Test Case Design &amp; Test Results'!$B$10:$B$189,0)),"")</f>
        <v>Pass</v>
      </c>
    </row>
    <row r="13" customFormat="false" ht="57.45" hidden="false" customHeight="false" outlineLevel="0" collapsed="false">
      <c r="A13" s="9" t="s">
        <v>410</v>
      </c>
      <c r="B13" s="9" t="s">
        <v>423</v>
      </c>
      <c r="C13" s="10" t="s">
        <v>424</v>
      </c>
      <c r="D13" s="10" t="s">
        <v>421</v>
      </c>
      <c r="E13" s="14" t="s">
        <v>418</v>
      </c>
      <c r="F13" s="10" t="s">
        <v>422</v>
      </c>
      <c r="G13" s="10" t="str">
        <f aca="false">IFERROR(INDEX('Test Case Design &amp; Test Results'!$F$10:$F$189,MATCH(B13,'Test Case Design &amp; Test Results'!$B$10:$B$189,0))&amp;"","")</f>
        <v>409 Conflict</v>
      </c>
      <c r="H13" s="9" t="str">
        <f aca="false">IFERROR(INDEX('Test Case Design &amp; Test Results'!$G$10:$G$189,MATCH(B13,'Test Case Design &amp; Test Results'!$B$10:$B$189,0)),"")</f>
        <v>Pass</v>
      </c>
    </row>
    <row r="14" customFormat="false" ht="57.45" hidden="false" customHeight="false" outlineLevel="0" collapsed="false">
      <c r="A14" s="9" t="s">
        <v>410</v>
      </c>
      <c r="B14" s="9" t="s">
        <v>425</v>
      </c>
      <c r="C14" s="10" t="s">
        <v>426</v>
      </c>
      <c r="D14" s="14" t="s">
        <v>427</v>
      </c>
      <c r="E14" s="14" t="s">
        <v>414</v>
      </c>
      <c r="F14" s="10" t="s">
        <v>428</v>
      </c>
      <c r="G14" s="10" t="str">
        <f aca="false">IFERROR(INDEX('Test Case Design &amp; Test Results'!$F$10:$F$189,MATCH(B14,'Test Case Design &amp; Test Results'!$B$10:$B$189,0))&amp;"","")</f>
        <v>409 + message มี "(id: x)" และห้องยังอยู่ใน DB</v>
      </c>
      <c r="H14" s="9" t="str">
        <f aca="false">IFERROR(INDEX('Test Case Design &amp; Test Results'!$G$10:$G$189,MATCH(B14,'Test Case Design &amp; Test Results'!$B$10:$B$189,0)),"")</f>
        <v>Pass</v>
      </c>
    </row>
    <row r="15" customFormat="false" ht="57.45" hidden="false" customHeight="false" outlineLevel="0" collapsed="false">
      <c r="A15" s="9" t="s">
        <v>410</v>
      </c>
      <c r="B15" s="9" t="s">
        <v>429</v>
      </c>
      <c r="C15" s="10" t="s">
        <v>430</v>
      </c>
      <c r="D15" s="14" t="s">
        <v>431</v>
      </c>
      <c r="E15" s="14" t="s">
        <v>418</v>
      </c>
      <c r="F15" s="10" t="s">
        <v>432</v>
      </c>
      <c r="G15" s="10" t="str">
        <f aca="false">IFERROR(INDEX('Test Case Design &amp; Test Results'!$F$10:$F$189,MATCH(B15,'Test Case Design &amp; Test Results'!$B$10:$B$189,0))&amp;"","")</f>
        <v>409 + message มี "(id: x)" และอุปกรณ์ยังอยู่</v>
      </c>
      <c r="H15" s="9" t="str">
        <f aca="false">IFERROR(INDEX('Test Case Design &amp; Test Results'!$G$10:$G$189,MATCH(B15,'Test Case Design &amp; Test Results'!$B$10:$B$189,0)),"")</f>
        <v>Pass</v>
      </c>
    </row>
    <row r="16" customFormat="false" ht="35.8" hidden="false" customHeight="false" outlineLevel="0" collapsed="false">
      <c r="A16" s="9" t="s">
        <v>433</v>
      </c>
      <c r="B16" s="9" t="s">
        <v>434</v>
      </c>
      <c r="C16" s="10" t="s">
        <v>412</v>
      </c>
      <c r="D16" s="10" t="s">
        <v>435</v>
      </c>
      <c r="E16" s="10" t="s">
        <v>436</v>
      </c>
      <c r="F16" s="14" t="s">
        <v>437</v>
      </c>
      <c r="G16" s="10" t="str">
        <f aca="false">IFERROR(INDEX('Test Case Design &amp; Test Results'!$F$10:$F$189,MATCH(B16,'Test Case Design &amp; Test Results'!$B$10:$B$189,0))&amp;"","")</f>
        <v>delete(room) ถูกเรียก</v>
      </c>
      <c r="H16" s="9" t="str">
        <f aca="false">IFERROR(INDEX('Test Case Design &amp; Test Results'!$G$10:$G$189,MATCH(B16,'Test Case Design &amp; Test Results'!$B$10:$B$189,0)),"")</f>
        <v>Pass</v>
      </c>
    </row>
    <row r="17" customFormat="false" ht="38.8" hidden="false" customHeight="false" outlineLevel="0" collapsed="false">
      <c r="A17" s="9" t="s">
        <v>433</v>
      </c>
      <c r="B17" s="9" t="s">
        <v>438</v>
      </c>
      <c r="C17" s="10" t="s">
        <v>412</v>
      </c>
      <c r="D17" s="10" t="s">
        <v>435</v>
      </c>
      <c r="E17" s="10" t="s">
        <v>439</v>
      </c>
      <c r="F17" s="14" t="s">
        <v>440</v>
      </c>
      <c r="G17" s="10" t="str">
        <f aca="false">IFERROR(INDEX('Test Case Design &amp; Test Results'!$F$10:$F$189,MATCH(B17,'Test Case Design &amp; Test Results'!$B$10:$B$189,0))&amp;"","")</f>
        <v>flush() ถูกเรียก</v>
      </c>
      <c r="H17" s="9" t="str">
        <f aca="false">IFERROR(INDEX('Test Case Design &amp; Test Results'!$G$10:$G$189,MATCH(B17,'Test Case Design &amp; Test Results'!$B$10:$B$189,0)),"")</f>
        <v>Pass</v>
      </c>
    </row>
    <row r="18" customFormat="false" ht="38.8" hidden="false" customHeight="false" outlineLevel="0" collapsed="false">
      <c r="A18" s="9" t="s">
        <v>433</v>
      </c>
      <c r="B18" s="9" t="s">
        <v>441</v>
      </c>
      <c r="C18" s="10" t="s">
        <v>417</v>
      </c>
      <c r="D18" s="10" t="s">
        <v>435</v>
      </c>
      <c r="E18" s="10" t="s">
        <v>442</v>
      </c>
      <c r="F18" s="14" t="s">
        <v>443</v>
      </c>
      <c r="G18" s="10" t="str">
        <f aca="false">IFERROR(INDEX('Test Case Design &amp; Test Results'!$F$10:$F$189,MATCH(B18,'Test Case Design &amp; Test Results'!$B$10:$B$189,0))&amp;"","")</f>
        <v>delete(equipment) ถูกเรียก</v>
      </c>
      <c r="H18" s="9" t="str">
        <f aca="false">IFERROR(INDEX('Test Case Design &amp; Test Results'!$G$10:$G$189,MATCH(B18,'Test Case Design &amp; Test Results'!$B$10:$B$189,0)),"")</f>
        <v>Pass</v>
      </c>
    </row>
    <row r="19" customFormat="false" ht="38.8" hidden="false" customHeight="false" outlineLevel="0" collapsed="false">
      <c r="A19" s="9" t="s">
        <v>433</v>
      </c>
      <c r="B19" s="9" t="s">
        <v>444</v>
      </c>
      <c r="C19" s="10" t="s">
        <v>417</v>
      </c>
      <c r="D19" s="10" t="s">
        <v>435</v>
      </c>
      <c r="E19" s="10" t="s">
        <v>439</v>
      </c>
      <c r="F19" s="14" t="s">
        <v>440</v>
      </c>
      <c r="G19" s="10" t="str">
        <f aca="false">IFERROR(INDEX('Test Case Design &amp; Test Results'!$F$10:$F$189,MATCH(B19,'Test Case Design &amp; Test Results'!$B$10:$B$189,0))&amp;"","")</f>
        <v>flush() ถูกเรียก</v>
      </c>
      <c r="H19" s="9" t="str">
        <f aca="false">IFERROR(INDEX('Test Case Design &amp; Test Results'!$G$10:$G$189,MATCH(B19,'Test Case Design &amp; Test Results'!$B$10:$B$189,0)),"")</f>
        <v>Pass</v>
      </c>
    </row>
    <row r="20" customFormat="false" ht="38.8" hidden="false" customHeight="false" outlineLevel="0" collapsed="false">
      <c r="A20" s="9" t="s">
        <v>433</v>
      </c>
      <c r="B20" s="9" t="s">
        <v>445</v>
      </c>
      <c r="C20" s="10" t="s">
        <v>420</v>
      </c>
      <c r="D20" s="10" t="s">
        <v>435</v>
      </c>
      <c r="E20" s="14" t="s">
        <v>446</v>
      </c>
      <c r="F20" s="10" t="s">
        <v>447</v>
      </c>
      <c r="G20" s="10" t="str">
        <f aca="false">IFERROR(INDEX('Test Case Design &amp; Test Results'!$F$10:$F$189,MATCH(B20,'Test Case Design &amp; Test Results'!$B$10:$B$189,0))&amp;"","")</f>
        <v>204 No Content</v>
      </c>
      <c r="H20" s="9" t="str">
        <f aca="false">IFERROR(INDEX('Test Case Design &amp; Test Results'!$G$10:$G$189,MATCH(B20,'Test Case Design &amp; Test Results'!$B$10:$B$189,0)),"")</f>
        <v>Pass</v>
      </c>
    </row>
    <row r="21" customFormat="false" ht="38.8" hidden="false" customHeight="false" outlineLevel="0" collapsed="false">
      <c r="A21" s="9" t="s">
        <v>433</v>
      </c>
      <c r="B21" s="9" t="s">
        <v>448</v>
      </c>
      <c r="C21" s="10" t="s">
        <v>426</v>
      </c>
      <c r="D21" s="14" t="s">
        <v>449</v>
      </c>
      <c r="E21" s="14" t="s">
        <v>450</v>
      </c>
      <c r="F21" s="10" t="s">
        <v>451</v>
      </c>
      <c r="G21" s="10" t="str">
        <f aca="false">IFERROR(INDEX('Test Case Design &amp; Test Results'!$F$10:$F$189,MATCH(B21,'Test Case Design &amp; Test Results'!$B$10:$B$189,0))&amp;"","")</f>
        <v>204 และห้องหายจาก DB</v>
      </c>
      <c r="H21" s="9" t="str">
        <f aca="false">IFERROR(INDEX('Test Case Design &amp; Test Results'!$G$10:$G$189,MATCH(B21,'Test Case Design &amp; Test Results'!$B$10:$B$189,0)),"")</f>
        <v>Pass</v>
      </c>
    </row>
    <row r="22" customFormat="false" ht="57.45" hidden="false" customHeight="false" outlineLevel="0" collapsed="false">
      <c r="A22" s="9" t="s">
        <v>433</v>
      </c>
      <c r="B22" s="9" t="s">
        <v>452</v>
      </c>
      <c r="C22" s="10" t="s">
        <v>430</v>
      </c>
      <c r="D22" s="14" t="s">
        <v>453</v>
      </c>
      <c r="E22" s="14" t="s">
        <v>454</v>
      </c>
      <c r="F22" s="10" t="s">
        <v>455</v>
      </c>
      <c r="G22" s="10" t="str">
        <f aca="false">IFERROR(INDEX('Test Case Design &amp; Test Results'!$F$10:$F$189,MATCH(B22,'Test Case Design &amp; Test Results'!$B$10:$B$189,0))&amp;"","")</f>
        <v>204 และอุปกรณ์หายจาก DB</v>
      </c>
      <c r="H22" s="9" t="str">
        <f aca="false">IFERROR(INDEX('Test Case Design &amp; Test Results'!$G$10:$G$189,MATCH(B22,'Test Case Design &amp; Test Results'!$B$10:$B$189,0)),"")</f>
        <v>Pass</v>
      </c>
    </row>
    <row r="23" customFormat="false" ht="20.1" hidden="false" customHeight="false" outlineLevel="0" collapsed="false">
      <c r="A23" s="9" t="s">
        <v>456</v>
      </c>
      <c r="B23" s="9" t="s">
        <v>40</v>
      </c>
      <c r="C23" s="9" t="s">
        <v>40</v>
      </c>
      <c r="D23" s="9" t="s">
        <v>40</v>
      </c>
      <c r="E23" s="9" t="s">
        <v>40</v>
      </c>
      <c r="F23" s="9" t="s">
        <v>370</v>
      </c>
      <c r="G23" s="9"/>
      <c r="H23" s="9"/>
    </row>
    <row r="24" customFormat="false" ht="76.1" hidden="false" customHeight="false" outlineLevel="0" collapsed="false">
      <c r="A24" s="9" t="s">
        <v>457</v>
      </c>
      <c r="B24" s="9" t="s">
        <v>458</v>
      </c>
      <c r="C24" s="10" t="s">
        <v>412</v>
      </c>
      <c r="D24" s="10" t="s">
        <v>459</v>
      </c>
      <c r="E24" s="10" t="s">
        <v>460</v>
      </c>
      <c r="F24" s="10" t="s">
        <v>461</v>
      </c>
      <c r="G24" s="10" t="str">
        <f aca="false">IFERROR(INDEX('Test Case Design &amp; Test Results'!$F$10:$F$189,MATCH(B24,'Test Case Design &amp; Test Results'!$B$10:$B$189,0))&amp;"","")</f>
        <v>throw ResourceNotFoundException, delete ไม่ถูกเรียก</v>
      </c>
      <c r="H24" s="9" t="str">
        <f aca="false">IFERROR(INDEX('Test Case Design &amp; Test Results'!$G$10:$G$189,MATCH(B24,'Test Case Design &amp; Test Results'!$B$10:$B$189,0)),"")</f>
        <v>Pass</v>
      </c>
    </row>
    <row r="25" customFormat="false" ht="76.1" hidden="false" customHeight="false" outlineLevel="0" collapsed="false">
      <c r="A25" s="9" t="s">
        <v>457</v>
      </c>
      <c r="B25" s="9" t="s">
        <v>462</v>
      </c>
      <c r="C25" s="10" t="s">
        <v>417</v>
      </c>
      <c r="D25" s="10" t="s">
        <v>459</v>
      </c>
      <c r="E25" s="10" t="s">
        <v>460</v>
      </c>
      <c r="F25" s="10" t="s">
        <v>461</v>
      </c>
      <c r="G25" s="10" t="str">
        <f aca="false">IFERROR(INDEX('Test Case Design &amp; Test Results'!$F$10:$F$189,MATCH(B25,'Test Case Design &amp; Test Results'!$B$10:$B$189,0))&amp;"","")</f>
        <v>throw ResourceNotFoundException, delete ไม่ถูกเรียก</v>
      </c>
      <c r="H25" s="9" t="str">
        <f aca="false">IFERROR(INDEX('Test Case Design &amp; Test Results'!$G$10:$G$189,MATCH(B25,'Test Case Design &amp; Test Results'!$B$10:$B$189,0)),"")</f>
        <v>Pass</v>
      </c>
    </row>
    <row r="26" customFormat="false" ht="20.1" hidden="false" customHeight="false" outlineLevel="0" collapsed="false">
      <c r="A26" s="35" t="s">
        <v>371</v>
      </c>
      <c r="B26" s="35"/>
      <c r="C26" s="35"/>
      <c r="D26" s="35"/>
      <c r="E26" s="35"/>
      <c r="F26" s="35"/>
      <c r="G26" s="35"/>
      <c r="H26" s="35"/>
    </row>
    <row r="27" customFormat="false" ht="38.8" hidden="false" customHeight="false" outlineLevel="0" collapsed="false">
      <c r="A27" s="9" t="s">
        <v>463</v>
      </c>
      <c r="B27" s="9" t="s">
        <v>464</v>
      </c>
      <c r="C27" s="10" t="s">
        <v>465</v>
      </c>
      <c r="D27" s="10" t="s">
        <v>466</v>
      </c>
      <c r="E27" s="10" t="s">
        <v>467</v>
      </c>
      <c r="F27" s="14" t="s">
        <v>468</v>
      </c>
      <c r="G27" s="10" t="str">
        <f aca="false">IFERROR(INDEX('Test Case Design &amp; Test Results'!$F$10:$F$189,MATCH(B27,'Test Case Design &amp; Test Results'!$B$10:$B$189,0))&amp;"","")</f>
        <v>ข้อมูลเปลี่ยนเป็น Microphone, 10</v>
      </c>
      <c r="H27" s="9" t="str">
        <f aca="false">IFERROR(INDEX('Test Case Design &amp; Test Results'!$G$10:$G$189,MATCH(B27,'Test Case Design &amp; Test Results'!$B$10:$B$189,0)),"")</f>
        <v>Pass</v>
      </c>
    </row>
    <row r="28" customFormat="false" ht="73.1" hidden="false" customHeight="false" outlineLevel="0" collapsed="false">
      <c r="A28" s="9" t="s">
        <v>469</v>
      </c>
      <c r="B28" s="9" t="s">
        <v>470</v>
      </c>
      <c r="C28" s="10" t="s">
        <v>465</v>
      </c>
      <c r="D28" s="10" t="s">
        <v>471</v>
      </c>
      <c r="E28" s="14" t="s">
        <v>472</v>
      </c>
      <c r="F28" s="10" t="s">
        <v>473</v>
      </c>
      <c r="G28" s="10" t="str">
        <f aca="false">IFERROR(INDEX('Test Case Design &amp; Test Results'!$F$10:$F$189,MATCH(B28,'Test Case Design &amp; Test Results'!$B$10:$B$189,0))&amp;"","")</f>
        <v>throw IllegalArgumentException, save ไม่ถูกเรียก</v>
      </c>
      <c r="H28" s="9" t="str">
        <f aca="false">IFERROR(INDEX('Test Case Design &amp; Test Results'!$G$10:$G$189,MATCH(B28,'Test Case Design &amp; Test Results'!$B$10:$B$189,0)),"")</f>
        <v>Pass</v>
      </c>
    </row>
    <row r="29" customFormat="false" ht="57.45" hidden="false" customHeight="false" outlineLevel="0" collapsed="false">
      <c r="A29" s="9" t="s">
        <v>474</v>
      </c>
      <c r="B29" s="9" t="s">
        <v>475</v>
      </c>
      <c r="C29" s="10" t="s">
        <v>465</v>
      </c>
      <c r="D29" s="10" t="s">
        <v>459</v>
      </c>
      <c r="E29" s="10" t="s">
        <v>460</v>
      </c>
      <c r="F29" s="10" t="s">
        <v>476</v>
      </c>
      <c r="G29" s="10" t="str">
        <f aca="false">IFERROR(INDEX('Test Case Design &amp; Test Results'!$F$10:$F$189,MATCH(B29,'Test Case Design &amp; Test Results'!$B$10:$B$189,0))&amp;"","")</f>
        <v>throw ResourceNotFoundException</v>
      </c>
      <c r="H29" s="9" t="str">
        <f aca="false">IFERROR(INDEX('Test Case Design &amp; Test Results'!$G$10:$G$189,MATCH(B29,'Test Case Design &amp; Test Results'!$B$10:$B$189,0)),"")</f>
        <v>Pass</v>
      </c>
    </row>
    <row r="30" customFormat="false" ht="20.1" hidden="false" customHeight="false" outlineLevel="0" collapsed="false">
      <c r="A30" s="35" t="s">
        <v>375</v>
      </c>
      <c r="B30" s="35"/>
      <c r="C30" s="35"/>
      <c r="D30" s="35"/>
      <c r="E30" s="35"/>
      <c r="F30" s="35"/>
      <c r="G30" s="35"/>
      <c r="H30" s="35"/>
    </row>
    <row r="31" customFormat="false" ht="20.1" hidden="false" customHeight="false" outlineLevel="0" collapsed="false">
      <c r="A31" s="9" t="s">
        <v>477</v>
      </c>
      <c r="B31" s="9" t="s">
        <v>478</v>
      </c>
      <c r="C31" s="10" t="s">
        <v>479</v>
      </c>
      <c r="D31" s="10" t="s">
        <v>480</v>
      </c>
      <c r="E31" s="14" t="s">
        <v>481</v>
      </c>
      <c r="F31" s="14" t="s">
        <v>482</v>
      </c>
      <c r="G31" s="10" t="str">
        <f aca="false">IFERROR(INDEX('Test Case Design &amp; Test Results'!$F$10:$F$189,MATCH(B31,'Test Case Design &amp; Test Results'!$B$10:$B$189,0))&amp;"","")</f>
        <v>true</v>
      </c>
      <c r="H31" s="9" t="str">
        <f aca="false">IFERROR(INDEX('Test Case Design &amp; Test Results'!$G$10:$G$189,MATCH(B31,'Test Case Design &amp; Test Results'!$B$10:$B$189,0)),"")</f>
        <v>Pass</v>
      </c>
    </row>
    <row r="32" customFormat="false" ht="38.8" hidden="false" customHeight="false" outlineLevel="0" collapsed="false">
      <c r="A32" s="9" t="s">
        <v>477</v>
      </c>
      <c r="B32" s="9" t="s">
        <v>483</v>
      </c>
      <c r="C32" s="10" t="s">
        <v>484</v>
      </c>
      <c r="D32" s="10" t="s">
        <v>485</v>
      </c>
      <c r="E32" s="14" t="s">
        <v>486</v>
      </c>
      <c r="F32" s="14" t="s">
        <v>487</v>
      </c>
      <c r="G32" s="10" t="str">
        <f aca="false">IFERROR(INDEX('Test Case Design &amp; Test Results'!$F$10:$F$189,MATCH(B32,'Test Case Design &amp; Test Results'!$B$10:$B$189,0))&amp;"","")</f>
        <v>VipRoomRuleStrategy</v>
      </c>
      <c r="H32" s="9" t="str">
        <f aca="false">IFERROR(INDEX('Test Case Design &amp; Test Results'!$G$10:$G$189,MATCH(B32,'Test Case Design &amp; Test Results'!$B$10:$B$189,0)),"")</f>
        <v>Pass</v>
      </c>
    </row>
    <row r="33" customFormat="false" ht="57.45" hidden="false" customHeight="false" outlineLevel="0" collapsed="false">
      <c r="A33" s="9" t="s">
        <v>477</v>
      </c>
      <c r="B33" s="9" t="s">
        <v>488</v>
      </c>
      <c r="C33" s="10" t="s">
        <v>489</v>
      </c>
      <c r="D33" s="14" t="s">
        <v>490</v>
      </c>
      <c r="E33" s="14" t="s">
        <v>481</v>
      </c>
      <c r="F33" s="10" t="s">
        <v>491</v>
      </c>
      <c r="G33" s="10" t="str">
        <f aca="false">IFERROR(INDEX('Test Case Design &amp; Test Results'!$F$10:$F$189,MATCH(B33,'Test Case Design &amp; Test Results'!$B$10:$B$189,0))&amp;"","")</f>
        <v>status = PENDING, save เป็น PENDING</v>
      </c>
      <c r="H33" s="9" t="str">
        <f aca="false">IFERROR(INDEX('Test Case Design &amp; Test Results'!$G$10:$G$189,MATCH(B33,'Test Case Design &amp; Test Results'!$B$10:$B$189,0)),"")</f>
        <v>Pass</v>
      </c>
    </row>
    <row r="34" customFormat="false" ht="38.8" hidden="false" customHeight="false" outlineLevel="0" collapsed="false">
      <c r="A34" s="9" t="s">
        <v>492</v>
      </c>
      <c r="B34" s="9" t="s">
        <v>493</v>
      </c>
      <c r="C34" s="10" t="s">
        <v>479</v>
      </c>
      <c r="D34" s="10" t="s">
        <v>494</v>
      </c>
      <c r="E34" s="14" t="s">
        <v>495</v>
      </c>
      <c r="F34" s="14" t="s">
        <v>496</v>
      </c>
      <c r="G34" s="10" t="str">
        <f aca="false">IFERROR(INDEX('Test Case Design &amp; Test Results'!$F$10:$F$189,MATCH(B34,'Test Case Design &amp; Test Results'!$B$10:$B$189,0))&amp;"","")</f>
        <v>false</v>
      </c>
      <c r="H34" s="9" t="str">
        <f aca="false">IFERROR(INDEX('Test Case Design &amp; Test Results'!$G$10:$G$189,MATCH(B34,'Test Case Design &amp; Test Results'!$B$10:$B$189,0)),"")</f>
        <v>Pass</v>
      </c>
    </row>
    <row r="35" customFormat="false" ht="54.45" hidden="false" customHeight="false" outlineLevel="0" collapsed="false">
      <c r="A35" s="9" t="s">
        <v>492</v>
      </c>
      <c r="B35" s="9" t="s">
        <v>497</v>
      </c>
      <c r="C35" s="10" t="s">
        <v>484</v>
      </c>
      <c r="D35" s="10" t="s">
        <v>498</v>
      </c>
      <c r="E35" s="14" t="s">
        <v>499</v>
      </c>
      <c r="F35" s="14" t="s">
        <v>500</v>
      </c>
      <c r="G35" s="10" t="str">
        <f aca="false">IFERROR(INDEX('Test Case Design &amp; Test Results'!$F$10:$F$189,MATCH(B35,'Test Case Design &amp; Test Results'!$B$10:$B$189,0))&amp;"","")</f>
        <v>StandardRoomRuleStrategy</v>
      </c>
      <c r="H35" s="9" t="str">
        <f aca="false">IFERROR(INDEX('Test Case Design &amp; Test Results'!$G$10:$G$189,MATCH(B35,'Test Case Design &amp; Test Results'!$B$10:$B$189,0)),"")</f>
        <v>Pass</v>
      </c>
    </row>
    <row r="36" customFormat="false" ht="76.1" hidden="false" customHeight="false" outlineLevel="0" collapsed="false">
      <c r="A36" s="9" t="s">
        <v>492</v>
      </c>
      <c r="B36" s="9" t="s">
        <v>501</v>
      </c>
      <c r="C36" s="10" t="s">
        <v>489</v>
      </c>
      <c r="D36" s="14" t="s">
        <v>502</v>
      </c>
      <c r="E36" s="14" t="s">
        <v>495</v>
      </c>
      <c r="F36" s="10" t="s">
        <v>503</v>
      </c>
      <c r="G36" s="10" t="str">
        <f aca="false">IFERROR(INDEX('Test Case Design &amp; Test Results'!$F$10:$F$189,MATCH(B36,'Test Case Design &amp; Test Results'!$B$10:$B$189,0))&amp;"","")</f>
        <v>status = APPROVED, save เป็น APPROVED</v>
      </c>
      <c r="H36" s="9" t="str">
        <f aca="false">IFERROR(INDEX('Test Case Design &amp; Test Results'!$G$10:$G$189,MATCH(B36,'Test Case Design &amp; Test Results'!$B$10:$B$189,0)),"")</f>
        <v>Pass</v>
      </c>
    </row>
    <row r="37" customFormat="false" ht="20.1" hidden="false" customHeight="false" outlineLevel="0" collapsed="false">
      <c r="A37" s="9" t="s">
        <v>504</v>
      </c>
      <c r="B37" s="9" t="s">
        <v>40</v>
      </c>
      <c r="C37" s="9" t="s">
        <v>40</v>
      </c>
      <c r="D37" s="9" t="s">
        <v>40</v>
      </c>
      <c r="E37" s="9" t="s">
        <v>40</v>
      </c>
      <c r="F37" s="9" t="s">
        <v>370</v>
      </c>
      <c r="G37" s="9"/>
      <c r="H37" s="9"/>
    </row>
    <row r="38" customFormat="false" ht="57.45" hidden="false" customHeight="false" outlineLevel="0" collapsed="false">
      <c r="A38" s="9" t="s">
        <v>505</v>
      </c>
      <c r="B38" s="9" t="s">
        <v>506</v>
      </c>
      <c r="C38" s="10" t="s">
        <v>484</v>
      </c>
      <c r="D38" s="10" t="s">
        <v>507</v>
      </c>
      <c r="E38" s="14" t="s">
        <v>508</v>
      </c>
      <c r="F38" s="10" t="s">
        <v>509</v>
      </c>
      <c r="G38" s="10" t="str">
        <f aca="false">IFERROR(INDEX('Test Case Design &amp; Test Results'!$F$10:$F$189,MATCH(B38,'Test Case Design &amp; Test Results'!$B$10:$B$189,0))&amp;"","")</f>
        <v>throw IllegalArgumentException</v>
      </c>
      <c r="H38" s="9" t="str">
        <f aca="false">IFERROR(INDEX('Test Case Design &amp; Test Results'!$G$10:$G$189,MATCH(B38,'Test Case Design &amp; Test Results'!$B$10:$B$189,0)),"")</f>
        <v>Pass</v>
      </c>
    </row>
    <row r="39" customFormat="false" ht="20.1" hidden="false" customHeight="false" outlineLevel="0" collapsed="false">
      <c r="A39" s="35" t="s">
        <v>381</v>
      </c>
      <c r="B39" s="35"/>
      <c r="C39" s="35"/>
      <c r="D39" s="35"/>
      <c r="E39" s="35"/>
      <c r="F39" s="35"/>
      <c r="G39" s="35"/>
      <c r="H39" s="35"/>
    </row>
    <row r="40" customFormat="false" ht="57.45" hidden="false" customHeight="false" outlineLevel="0" collapsed="false">
      <c r="A40" s="9" t="s">
        <v>510</v>
      </c>
      <c r="B40" s="9" t="s">
        <v>511</v>
      </c>
      <c r="C40" s="10" t="s">
        <v>512</v>
      </c>
      <c r="D40" s="10" t="s">
        <v>513</v>
      </c>
      <c r="E40" s="10" t="s">
        <v>514</v>
      </c>
      <c r="F40" s="10" t="s">
        <v>515</v>
      </c>
      <c r="G40" s="10" t="str">
        <f aca="false">IFERROR(INDEX('Test Case Design &amp; Test Results'!$F$10:$F$189,MATCH(B40,'Test Case Design &amp; Test Results'!$B$10:$B$189,0))&amp;"","")</f>
        <v>201 Created, id=1</v>
      </c>
      <c r="H40" s="9" t="str">
        <f aca="false">IFERROR(INDEX('Test Case Design &amp; Test Results'!$G$10:$G$189,MATCH(B40,'Test Case Design &amp; Test Results'!$B$10:$B$189,0)),"")</f>
        <v>Pass</v>
      </c>
    </row>
    <row r="41" customFormat="false" ht="57.45" hidden="false" customHeight="false" outlineLevel="0" collapsed="false">
      <c r="A41" s="9" t="s">
        <v>510</v>
      </c>
      <c r="B41" s="9" t="s">
        <v>516</v>
      </c>
      <c r="C41" s="10" t="s">
        <v>517</v>
      </c>
      <c r="D41" s="10" t="s">
        <v>518</v>
      </c>
      <c r="E41" s="10" t="s">
        <v>514</v>
      </c>
      <c r="F41" s="10" t="s">
        <v>515</v>
      </c>
      <c r="G41" s="10" t="str">
        <f aca="false">IFERROR(INDEX('Test Case Design &amp; Test Results'!$F$10:$F$189,MATCH(B41,'Test Case Design &amp; Test Results'!$B$10:$B$189,0))&amp;"","")</f>
        <v>201 Created, id=1</v>
      </c>
      <c r="H41" s="9" t="str">
        <f aca="false">IFERROR(INDEX('Test Case Design &amp; Test Results'!$G$10:$G$189,MATCH(B41,'Test Case Design &amp; Test Results'!$B$10:$B$189,0)),"")</f>
        <v>Pass</v>
      </c>
    </row>
    <row r="42" customFormat="false" ht="38.8" hidden="false" customHeight="false" outlineLevel="0" collapsed="false">
      <c r="A42" s="9" t="s">
        <v>510</v>
      </c>
      <c r="B42" s="9" t="s">
        <v>519</v>
      </c>
      <c r="C42" s="10" t="s">
        <v>512</v>
      </c>
      <c r="D42" s="10" t="s">
        <v>520</v>
      </c>
      <c r="E42" s="10" t="s">
        <v>514</v>
      </c>
      <c r="F42" s="10" t="s">
        <v>521</v>
      </c>
      <c r="G42" s="10" t="str">
        <f aca="false">IFERROR(INDEX('Test Case Design &amp; Test Results'!$F$10:$F$189,MATCH(B42,'Test Case Design &amp; Test Results'!$B$10:$B$189,0))&amp;"","")</f>
        <v>201 และบันทึกลง DB จริง</v>
      </c>
      <c r="H42" s="9" t="str">
        <f aca="false">IFERROR(INDEX('Test Case Design &amp; Test Results'!$G$10:$G$189,MATCH(B42,'Test Case Design &amp; Test Results'!$B$10:$B$189,0)),"")</f>
        <v>Pass</v>
      </c>
    </row>
    <row r="43" customFormat="false" ht="57.45" hidden="false" customHeight="false" outlineLevel="0" collapsed="false">
      <c r="A43" s="9" t="s">
        <v>522</v>
      </c>
      <c r="B43" s="9" t="s">
        <v>523</v>
      </c>
      <c r="C43" s="10" t="s">
        <v>512</v>
      </c>
      <c r="D43" s="10" t="s">
        <v>524</v>
      </c>
      <c r="E43" s="10" t="s">
        <v>525</v>
      </c>
      <c r="F43" s="10" t="s">
        <v>526</v>
      </c>
      <c r="G43" s="10" t="str">
        <f aca="false">IFERROR(INDEX('Test Case Design &amp; Test Results'!$F$10:$F$189,MATCH(B43,'Test Case Design &amp; Test Results'!$B$10:$B$189,0))&amp;"","")</f>
        <v>400 Bad Request, service ไม่ถูกเรียก</v>
      </c>
      <c r="H43" s="9" t="str">
        <f aca="false">IFERROR(INDEX('Test Case Design &amp; Test Results'!$G$10:$G$189,MATCH(B43,'Test Case Design &amp; Test Results'!$B$10:$B$189,0)),"")</f>
        <v>Pass</v>
      </c>
    </row>
    <row r="44" customFormat="false" ht="57.45" hidden="false" customHeight="false" outlineLevel="0" collapsed="false">
      <c r="A44" s="9" t="s">
        <v>522</v>
      </c>
      <c r="B44" s="9" t="s">
        <v>527</v>
      </c>
      <c r="C44" s="10" t="s">
        <v>512</v>
      </c>
      <c r="D44" s="10" t="s">
        <v>528</v>
      </c>
      <c r="E44" s="10" t="s">
        <v>529</v>
      </c>
      <c r="F44" s="10" t="s">
        <v>526</v>
      </c>
      <c r="G44" s="10" t="str">
        <f aca="false">IFERROR(INDEX('Test Case Design &amp; Test Results'!$F$10:$F$189,MATCH(B44,'Test Case Design &amp; Test Results'!$B$10:$B$189,0))&amp;"","")</f>
        <v>400 Bad Request และไม่เรียก service</v>
      </c>
      <c r="H44" s="9" t="str">
        <f aca="false">IFERROR(INDEX('Test Case Design &amp; Test Results'!$G$10:$G$189,MATCH(B44,'Test Case Design &amp; Test Results'!$B$10:$B$189,0)),"")</f>
        <v>Pass</v>
      </c>
    </row>
    <row r="45" customFormat="false" ht="54.45" hidden="false" customHeight="false" outlineLevel="0" collapsed="false">
      <c r="A45" s="9" t="s">
        <v>522</v>
      </c>
      <c r="B45" s="9" t="s">
        <v>530</v>
      </c>
      <c r="C45" s="10" t="s">
        <v>517</v>
      </c>
      <c r="D45" s="10" t="s">
        <v>531</v>
      </c>
      <c r="E45" s="14" t="s">
        <v>472</v>
      </c>
      <c r="F45" s="10" t="s">
        <v>526</v>
      </c>
      <c r="G45" s="10" t="str">
        <f aca="false">IFERROR(INDEX('Test Case Design &amp; Test Results'!$F$10:$F$189,MATCH(B45,'Test Case Design &amp; Test Results'!$B$10:$B$189,0))&amp;"","")</f>
        <v>400 Bad Request, service ไม่ถูกเรียก</v>
      </c>
      <c r="H45" s="9" t="str">
        <f aca="false">IFERROR(INDEX('Test Case Design &amp; Test Results'!$G$10:$G$189,MATCH(B45,'Test Case Design &amp; Test Results'!$B$10:$B$189,0)),"")</f>
        <v>Pass</v>
      </c>
    </row>
    <row r="46" customFormat="false" ht="57.45" hidden="false" customHeight="false" outlineLevel="0" collapsed="false">
      <c r="A46" s="9" t="s">
        <v>522</v>
      </c>
      <c r="B46" s="9" t="s">
        <v>532</v>
      </c>
      <c r="C46" s="10" t="s">
        <v>533</v>
      </c>
      <c r="D46" s="10" t="s">
        <v>534</v>
      </c>
      <c r="E46" s="10" t="s">
        <v>535</v>
      </c>
      <c r="F46" s="10" t="s">
        <v>526</v>
      </c>
      <c r="G46" s="10" t="str">
        <f aca="false">IFERROR(INDEX('Test Case Design &amp; Test Results'!$F$10:$F$189,MATCH(B46,'Test Case Design &amp; Test Results'!$B$10:$B$189,0))&amp;"","")</f>
        <v>400 Bad Request, service ไม่ถูกเรียก</v>
      </c>
      <c r="H46" s="9" t="str">
        <f aca="false">IFERROR(INDEX('Test Case Design &amp; Test Results'!$G$10:$G$189,MATCH(B46,'Test Case Design &amp; Test Results'!$B$10:$B$189,0)),"")</f>
        <v>Pass</v>
      </c>
    </row>
  </sheetData>
  <mergeCells count="14">
    <mergeCell ref="A1:H1"/>
    <mergeCell ref="B3:E3"/>
    <mergeCell ref="B4:E4"/>
    <mergeCell ref="B5:E5"/>
    <mergeCell ref="A7:A8"/>
    <mergeCell ref="B7:B8"/>
    <mergeCell ref="C7:E7"/>
    <mergeCell ref="F7:F8"/>
    <mergeCell ref="G7:G8"/>
    <mergeCell ref="H7:H8"/>
    <mergeCell ref="A9:H9"/>
    <mergeCell ref="A26:H26"/>
    <mergeCell ref="A30:H30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22.05" hidden="false" customHeight="false" outlineLevel="0" collapsed="false">
      <c r="A1" s="22" t="s">
        <v>94</v>
      </c>
      <c r="B1" s="22"/>
      <c r="C1" s="22"/>
      <c r="D1" s="22"/>
      <c r="E1" s="22"/>
      <c r="F1" s="22"/>
      <c r="G1" s="22"/>
      <c r="H1" s="22"/>
    </row>
    <row r="3" customFormat="false" ht="30" hidden="false" customHeight="true" outlineLevel="0" collapsed="false">
      <c r="A3" s="1" t="s">
        <v>99</v>
      </c>
      <c r="B3" s="24" t="s">
        <v>536</v>
      </c>
      <c r="C3" s="24"/>
      <c r="D3" s="24"/>
      <c r="E3" s="24"/>
      <c r="F3" s="1" t="s">
        <v>101</v>
      </c>
      <c r="G3" s="2" t="s">
        <v>1</v>
      </c>
    </row>
    <row r="4" customFormat="false" ht="30" hidden="false" customHeight="true" outlineLevel="0" collapsed="false">
      <c r="A4" s="1" t="s">
        <v>103</v>
      </c>
      <c r="B4" s="24" t="s">
        <v>537</v>
      </c>
      <c r="C4" s="24"/>
      <c r="D4" s="24"/>
      <c r="E4" s="24"/>
      <c r="F4" s="1" t="s">
        <v>105</v>
      </c>
      <c r="G4" s="3" t="s">
        <v>3</v>
      </c>
    </row>
    <row r="5" customFormat="false" ht="51.75" hidden="false" customHeight="true" outlineLevel="0" collapsed="false">
      <c r="A5" s="1" t="s">
        <v>107</v>
      </c>
      <c r="B5" s="24" t="s">
        <v>108</v>
      </c>
      <c r="C5" s="24"/>
      <c r="D5" s="24"/>
      <c r="E5" s="24"/>
      <c r="F5" s="1" t="s">
        <v>109</v>
      </c>
      <c r="G5" s="2" t="s">
        <v>110</v>
      </c>
    </row>
    <row r="7" customFormat="false" ht="23.1" hidden="false" customHeight="true" outlineLevel="0" collapsed="false">
      <c r="A7" s="25" t="s">
        <v>407</v>
      </c>
      <c r="B7" s="25" t="s">
        <v>113</v>
      </c>
      <c r="C7" s="25" t="s">
        <v>114</v>
      </c>
      <c r="D7" s="25"/>
      <c r="E7" s="25"/>
      <c r="F7" s="25" t="s">
        <v>115</v>
      </c>
      <c r="G7" s="25" t="s">
        <v>116</v>
      </c>
      <c r="H7" s="25" t="s">
        <v>117</v>
      </c>
    </row>
    <row r="8" customFormat="false" ht="44.75" hidden="false" customHeight="false" outlineLevel="0" collapsed="false">
      <c r="A8" s="25"/>
      <c r="B8" s="25"/>
      <c r="C8" s="19" t="s">
        <v>408</v>
      </c>
      <c r="D8" s="19" t="s">
        <v>409</v>
      </c>
      <c r="E8" s="19" t="s">
        <v>261</v>
      </c>
      <c r="F8" s="25"/>
      <c r="G8" s="25"/>
      <c r="H8" s="25"/>
    </row>
    <row r="9" customFormat="false" ht="20.1" hidden="false" customHeight="false" outlineLevel="0" collapsed="false">
      <c r="A9" s="35" t="s">
        <v>385</v>
      </c>
      <c r="B9" s="35"/>
      <c r="C9" s="35"/>
      <c r="D9" s="35"/>
      <c r="E9" s="35"/>
      <c r="F9" s="35"/>
      <c r="G9" s="35"/>
      <c r="H9" s="35"/>
    </row>
    <row r="10" customFormat="false" ht="38.8" hidden="false" customHeight="false" outlineLevel="0" collapsed="false">
      <c r="A10" s="9" t="s">
        <v>538</v>
      </c>
      <c r="B10" s="9" t="s">
        <v>493</v>
      </c>
      <c r="C10" s="10" t="s">
        <v>479</v>
      </c>
      <c r="D10" s="10" t="s">
        <v>494</v>
      </c>
      <c r="E10" s="14" t="s">
        <v>495</v>
      </c>
      <c r="F10" s="14" t="s">
        <v>496</v>
      </c>
      <c r="G10" s="10" t="str">
        <f aca="false">IFERROR(INDEX('Test Case Design &amp; Test Results'!$F$10:$F$189,MATCH(B10,'Test Case Design &amp; Test Results'!$B$10:$B$189,0))&amp;"","")</f>
        <v>false</v>
      </c>
      <c r="H10" s="9" t="str">
        <f aca="false">IFERROR(INDEX('Test Case Design &amp; Test Results'!$G$10:$G$189,MATCH(B10,'Test Case Design &amp; Test Results'!$B$10:$B$189,0)),"")</f>
        <v>Pass</v>
      </c>
    </row>
    <row r="11" customFormat="false" ht="54.45" hidden="false" customHeight="false" outlineLevel="0" collapsed="false">
      <c r="A11" s="9" t="s">
        <v>538</v>
      </c>
      <c r="B11" s="9" t="s">
        <v>497</v>
      </c>
      <c r="C11" s="10" t="s">
        <v>484</v>
      </c>
      <c r="D11" s="10" t="s">
        <v>498</v>
      </c>
      <c r="E11" s="14" t="s">
        <v>499</v>
      </c>
      <c r="F11" s="14" t="s">
        <v>500</v>
      </c>
      <c r="G11" s="10" t="str">
        <f aca="false">IFERROR(INDEX('Test Case Design &amp; Test Results'!$F$10:$F$189,MATCH(B11,'Test Case Design &amp; Test Results'!$B$10:$B$189,0))&amp;"","")</f>
        <v>StandardRoomRuleStrategy</v>
      </c>
      <c r="H11" s="9" t="str">
        <f aca="false">IFERROR(INDEX('Test Case Design &amp; Test Results'!$G$10:$G$189,MATCH(B11,'Test Case Design &amp; Test Results'!$B$10:$B$189,0)),"")</f>
        <v>Pass</v>
      </c>
    </row>
    <row r="12" customFormat="false" ht="76.1" hidden="false" customHeight="false" outlineLevel="0" collapsed="false">
      <c r="A12" s="9" t="s">
        <v>538</v>
      </c>
      <c r="B12" s="9" t="s">
        <v>501</v>
      </c>
      <c r="C12" s="10" t="s">
        <v>489</v>
      </c>
      <c r="D12" s="14" t="s">
        <v>502</v>
      </c>
      <c r="E12" s="14" t="s">
        <v>495</v>
      </c>
      <c r="F12" s="10" t="s">
        <v>503</v>
      </c>
      <c r="G12" s="10" t="str">
        <f aca="false">IFERROR(INDEX('Test Case Design &amp; Test Results'!$F$10:$F$189,MATCH(B12,'Test Case Design &amp; Test Results'!$B$10:$B$189,0))&amp;"","")</f>
        <v>status = APPROVED, save เป็น APPROVED</v>
      </c>
      <c r="H12" s="9" t="str">
        <f aca="false">IFERROR(INDEX('Test Case Design &amp; Test Results'!$G$10:$G$189,MATCH(B12,'Test Case Design &amp; Test Results'!$B$10:$B$189,0)),"")</f>
        <v>Pass</v>
      </c>
    </row>
    <row r="13" customFormat="false" ht="20.1" hidden="false" customHeight="false" outlineLevel="0" collapsed="false">
      <c r="A13" s="9" t="s">
        <v>539</v>
      </c>
      <c r="B13" s="9" t="s">
        <v>478</v>
      </c>
      <c r="C13" s="10" t="s">
        <v>479</v>
      </c>
      <c r="D13" s="10" t="s">
        <v>480</v>
      </c>
      <c r="E13" s="14" t="s">
        <v>481</v>
      </c>
      <c r="F13" s="14" t="s">
        <v>482</v>
      </c>
      <c r="G13" s="10" t="str">
        <f aca="false">IFERROR(INDEX('Test Case Design &amp; Test Results'!$F$10:$F$189,MATCH(B13,'Test Case Design &amp; Test Results'!$B$10:$B$189,0))&amp;"","")</f>
        <v>true</v>
      </c>
      <c r="H13" s="9" t="str">
        <f aca="false">IFERROR(INDEX('Test Case Design &amp; Test Results'!$G$10:$G$189,MATCH(B13,'Test Case Design &amp; Test Results'!$B$10:$B$189,0)),"")</f>
        <v>Pass</v>
      </c>
    </row>
    <row r="14" customFormat="false" ht="38.8" hidden="false" customHeight="false" outlineLevel="0" collapsed="false">
      <c r="A14" s="9" t="s">
        <v>539</v>
      </c>
      <c r="B14" s="9" t="s">
        <v>483</v>
      </c>
      <c r="C14" s="10" t="s">
        <v>484</v>
      </c>
      <c r="D14" s="10" t="s">
        <v>485</v>
      </c>
      <c r="E14" s="14" t="s">
        <v>486</v>
      </c>
      <c r="F14" s="14" t="s">
        <v>487</v>
      </c>
      <c r="G14" s="10" t="str">
        <f aca="false">IFERROR(INDEX('Test Case Design &amp; Test Results'!$F$10:$F$189,MATCH(B14,'Test Case Design &amp; Test Results'!$B$10:$B$189,0))&amp;"","")</f>
        <v>VipRoomRuleStrategy</v>
      </c>
      <c r="H14" s="9" t="str">
        <f aca="false">IFERROR(INDEX('Test Case Design &amp; Test Results'!$G$10:$G$189,MATCH(B14,'Test Case Design &amp; Test Results'!$B$10:$B$189,0)),"")</f>
        <v>Pass</v>
      </c>
    </row>
    <row r="15" customFormat="false" ht="57.45" hidden="false" customHeight="false" outlineLevel="0" collapsed="false">
      <c r="A15" s="9" t="s">
        <v>539</v>
      </c>
      <c r="B15" s="9" t="s">
        <v>488</v>
      </c>
      <c r="C15" s="10" t="s">
        <v>489</v>
      </c>
      <c r="D15" s="14" t="s">
        <v>490</v>
      </c>
      <c r="E15" s="14" t="s">
        <v>481</v>
      </c>
      <c r="F15" s="10" t="s">
        <v>491</v>
      </c>
      <c r="G15" s="10" t="str">
        <f aca="false">IFERROR(INDEX('Test Case Design &amp; Test Results'!$F$10:$F$189,MATCH(B15,'Test Case Design &amp; Test Results'!$B$10:$B$189,0))&amp;"","")</f>
        <v>status = PENDING, save เป็น PENDING</v>
      </c>
      <c r="H15" s="9" t="str">
        <f aca="false">IFERROR(INDEX('Test Case Design &amp; Test Results'!$G$10:$G$189,MATCH(B15,'Test Case Design &amp; Test Results'!$B$10:$B$189,0)),"")</f>
        <v>Pass</v>
      </c>
    </row>
    <row r="16" customFormat="false" ht="57.45" hidden="false" customHeight="false" outlineLevel="0" collapsed="false">
      <c r="A16" s="9" t="s">
        <v>540</v>
      </c>
      <c r="B16" s="9" t="s">
        <v>506</v>
      </c>
      <c r="C16" s="10" t="s">
        <v>484</v>
      </c>
      <c r="D16" s="10" t="s">
        <v>507</v>
      </c>
      <c r="E16" s="14" t="s">
        <v>508</v>
      </c>
      <c r="F16" s="10" t="s">
        <v>509</v>
      </c>
      <c r="G16" s="10" t="str">
        <f aca="false">IFERROR(INDEX('Test Case Design &amp; Test Results'!$F$10:$F$189,MATCH(B16,'Test Case Design &amp; Test Results'!$B$10:$B$189,0))&amp;"","")</f>
        <v>throw IllegalArgumentException</v>
      </c>
      <c r="H16" s="9" t="str">
        <f aca="false">IFERROR(INDEX('Test Case Design &amp; Test Results'!$G$10:$G$189,MATCH(B16,'Test Case Design &amp; Test Results'!$B$10:$B$189,0)),"")</f>
        <v>Pass</v>
      </c>
    </row>
    <row r="17" customFormat="false" ht="20.1" hidden="false" customHeight="false" outlineLevel="0" collapsed="false">
      <c r="A17" s="35" t="s">
        <v>393</v>
      </c>
      <c r="B17" s="35"/>
      <c r="C17" s="35"/>
      <c r="D17" s="35"/>
      <c r="E17" s="35"/>
      <c r="F17" s="35"/>
      <c r="G17" s="35"/>
      <c r="H17" s="35"/>
    </row>
    <row r="18" customFormat="false" ht="38.8" hidden="false" customHeight="false" outlineLevel="0" collapsed="false">
      <c r="A18" s="9" t="s">
        <v>541</v>
      </c>
      <c r="B18" s="9" t="s">
        <v>291</v>
      </c>
      <c r="C18" s="10" t="s">
        <v>542</v>
      </c>
      <c r="D18" s="14" t="s">
        <v>543</v>
      </c>
      <c r="E18" s="10" t="s">
        <v>544</v>
      </c>
      <c r="F18" s="14" t="s">
        <v>296</v>
      </c>
      <c r="G18" s="10" t="str">
        <f aca="false">IFERROR(INDEX('Test Case Design &amp; Test Results'!$F$10:$F$189,MATCH(B18,'Test Case Design &amp; Test Results'!$B$10:$B$189,0))&amp;"","")</f>
        <v>ไม่มี violation</v>
      </c>
      <c r="H18" s="9" t="str">
        <f aca="false">IFERROR(INDEX('Test Case Design &amp; Test Results'!$G$10:$G$189,MATCH(B18,'Test Case Design &amp; Test Results'!$B$10:$B$189,0)),"")</f>
        <v>Pass</v>
      </c>
    </row>
    <row r="19" customFormat="false" ht="38.8" hidden="false" customHeight="false" outlineLevel="0" collapsed="false">
      <c r="A19" s="9" t="s">
        <v>541</v>
      </c>
      <c r="B19" s="9" t="s">
        <v>121</v>
      </c>
      <c r="C19" s="10" t="s">
        <v>545</v>
      </c>
      <c r="D19" s="10" t="s">
        <v>546</v>
      </c>
      <c r="E19" s="10" t="s">
        <v>547</v>
      </c>
      <c r="F19" s="14" t="s">
        <v>124</v>
      </c>
      <c r="G19" s="10" t="str">
        <f aca="false">IFERROR(INDEX('Test Case Design &amp; Test Results'!$F$10:$F$189,MATCH(B19,'Test Case Design &amp; Test Results'!$B$10:$B$189,0))&amp;"","")</f>
        <v>ผ่าน validation</v>
      </c>
      <c r="H19" s="9" t="str">
        <f aca="false">IFERROR(INDEX('Test Case Design &amp; Test Results'!$G$10:$G$189,MATCH(B19,'Test Case Design &amp; Test Results'!$B$10:$B$189,0)),"")</f>
        <v>Pass</v>
      </c>
    </row>
    <row r="20" customFormat="false" ht="38.8" hidden="false" customHeight="false" outlineLevel="0" collapsed="false">
      <c r="A20" s="9" t="s">
        <v>548</v>
      </c>
      <c r="B20" s="9" t="s">
        <v>305</v>
      </c>
      <c r="C20" s="10" t="s">
        <v>542</v>
      </c>
      <c r="D20" s="10" t="s">
        <v>549</v>
      </c>
      <c r="E20" s="10" t="s">
        <v>264</v>
      </c>
      <c r="F20" s="10" t="s">
        <v>307</v>
      </c>
      <c r="G20" s="10" t="str">
        <f aca="false">IFERROR(INDEX('Test Case Design &amp; Test Results'!$F$10:$F$189,MATCH(B20,'Test Case Design &amp; Test Results'!$B$10:$B$189,0))&amp;"","")</f>
        <v>violation 1 รายการ ที่ field name</v>
      </c>
      <c r="H20" s="9" t="str">
        <f aca="false">IFERROR(INDEX('Test Case Design &amp; Test Results'!$G$10:$G$189,MATCH(B20,'Test Case Design &amp; Test Results'!$B$10:$B$189,0)),"")</f>
        <v>Pass</v>
      </c>
    </row>
    <row r="21" customFormat="false" ht="38.8" hidden="false" customHeight="false" outlineLevel="0" collapsed="false">
      <c r="A21" s="9" t="s">
        <v>548</v>
      </c>
      <c r="B21" s="9" t="s">
        <v>308</v>
      </c>
      <c r="C21" s="10" t="s">
        <v>542</v>
      </c>
      <c r="D21" s="10" t="s">
        <v>550</v>
      </c>
      <c r="E21" s="10" t="s">
        <v>264</v>
      </c>
      <c r="F21" s="10" t="s">
        <v>307</v>
      </c>
      <c r="G21" s="10" t="str">
        <f aca="false">IFERROR(INDEX('Test Case Design &amp; Test Results'!$F$10:$F$189,MATCH(B21,'Test Case Design &amp; Test Results'!$B$10:$B$189,0))&amp;"","")</f>
        <v>violation 1 รายการ ที่ field name</v>
      </c>
      <c r="H21" s="9" t="str">
        <f aca="false">IFERROR(INDEX('Test Case Design &amp; Test Results'!$G$10:$G$189,MATCH(B21,'Test Case Design &amp; Test Results'!$B$10:$B$189,0)),"")</f>
        <v>Pass</v>
      </c>
    </row>
    <row r="22" customFormat="false" ht="38.8" hidden="false" customHeight="false" outlineLevel="0" collapsed="false">
      <c r="A22" s="9" t="s">
        <v>548</v>
      </c>
      <c r="B22" s="9" t="s">
        <v>310</v>
      </c>
      <c r="C22" s="10" t="s">
        <v>542</v>
      </c>
      <c r="D22" s="10" t="s">
        <v>551</v>
      </c>
      <c r="E22" s="10" t="s">
        <v>264</v>
      </c>
      <c r="F22" s="10" t="s">
        <v>307</v>
      </c>
      <c r="G22" s="10" t="str">
        <f aca="false">IFERROR(INDEX('Test Case Design &amp; Test Results'!$F$10:$F$189,MATCH(B22,'Test Case Design &amp; Test Results'!$B$10:$B$189,0))&amp;"","")</f>
        <v>violation 1 รายการ ที่ field name</v>
      </c>
      <c r="H22" s="9" t="str">
        <f aca="false">IFERROR(INDEX('Test Case Design &amp; Test Results'!$G$10:$G$189,MATCH(B22,'Test Case Design &amp; Test Results'!$B$10:$B$189,0)),"")</f>
        <v>Pass</v>
      </c>
    </row>
    <row r="23" customFormat="false" ht="38.8" hidden="false" customHeight="false" outlineLevel="0" collapsed="false">
      <c r="A23" s="9" t="s">
        <v>548</v>
      </c>
      <c r="B23" s="9" t="s">
        <v>152</v>
      </c>
      <c r="C23" s="10" t="s">
        <v>545</v>
      </c>
      <c r="D23" s="10" t="s">
        <v>552</v>
      </c>
      <c r="E23" s="10" t="s">
        <v>553</v>
      </c>
      <c r="F23" s="14" t="s">
        <v>554</v>
      </c>
      <c r="G23" s="10" t="str">
        <f aca="false">IFERROR(INDEX('Test Case Design &amp; Test Results'!$F$10:$F$189,MATCH(B23,'Test Case Design &amp; Test Results'!$B$10:$B$189,0))&amp;"","")</f>
        <v>ไม่ผ่าน validation (name)</v>
      </c>
      <c r="H23" s="9" t="str">
        <f aca="false">IFERROR(INDEX('Test Case Design &amp; Test Results'!$G$10:$G$189,MATCH(B23,'Test Case Design &amp; Test Results'!$B$10:$B$189,0)),"")</f>
        <v>Pass</v>
      </c>
    </row>
    <row r="24" customFormat="false" ht="38.8" hidden="false" customHeight="false" outlineLevel="0" collapsed="false">
      <c r="A24" s="9" t="s">
        <v>555</v>
      </c>
      <c r="B24" s="9" t="s">
        <v>311</v>
      </c>
      <c r="C24" s="10" t="s">
        <v>542</v>
      </c>
      <c r="D24" s="10" t="s">
        <v>556</v>
      </c>
      <c r="E24" s="10" t="s">
        <v>268</v>
      </c>
      <c r="F24" s="10" t="s">
        <v>307</v>
      </c>
      <c r="G24" s="10" t="str">
        <f aca="false">IFERROR(INDEX('Test Case Design &amp; Test Results'!$F$10:$F$189,MATCH(B24,'Test Case Design &amp; Test Results'!$B$10:$B$189,0))&amp;"","")</f>
        <v>violation 1 รายการ ที่ field name</v>
      </c>
      <c r="H24" s="9" t="str">
        <f aca="false">IFERROR(INDEX('Test Case Design &amp; Test Results'!$G$10:$G$189,MATCH(B24,'Test Case Design &amp; Test Results'!$B$10:$B$189,0)),"")</f>
        <v>Pass</v>
      </c>
    </row>
    <row r="25" customFormat="false" ht="38.8" hidden="false" customHeight="false" outlineLevel="0" collapsed="false">
      <c r="A25" s="9" t="s">
        <v>555</v>
      </c>
      <c r="B25" s="9" t="s">
        <v>155</v>
      </c>
      <c r="C25" s="10" t="s">
        <v>545</v>
      </c>
      <c r="D25" s="10" t="s">
        <v>557</v>
      </c>
      <c r="E25" s="10" t="s">
        <v>558</v>
      </c>
      <c r="F25" s="14" t="s">
        <v>554</v>
      </c>
      <c r="G25" s="10" t="str">
        <f aca="false">IFERROR(INDEX('Test Case Design &amp; Test Results'!$F$10:$F$189,MATCH(B25,'Test Case Design &amp; Test Results'!$B$10:$B$189,0))&amp;"","")</f>
        <v>ไม่ผ่าน validation (name)</v>
      </c>
      <c r="H25" s="9" t="str">
        <f aca="false">IFERROR(INDEX('Test Case Design &amp; Test Results'!$G$10:$G$189,MATCH(B25,'Test Case Design &amp; Test Results'!$B$10:$B$189,0)),"")</f>
        <v>Pass</v>
      </c>
    </row>
    <row r="26" customFormat="false" ht="38.8" hidden="false" customHeight="false" outlineLevel="0" collapsed="false">
      <c r="A26" s="9" t="s">
        <v>559</v>
      </c>
      <c r="B26" s="9" t="s">
        <v>313</v>
      </c>
      <c r="C26" s="10" t="s">
        <v>542</v>
      </c>
      <c r="D26" s="10" t="s">
        <v>560</v>
      </c>
      <c r="E26" s="10" t="s">
        <v>272</v>
      </c>
      <c r="F26" s="10" t="s">
        <v>314</v>
      </c>
      <c r="G26" s="10" t="str">
        <f aca="false">IFERROR(INDEX('Test Case Design &amp; Test Results'!$F$10:$F$189,MATCH(B26,'Test Case Design &amp; Test Results'!$B$10:$B$189,0))&amp;"","")</f>
        <v>violation 1 รายการ ที่ field capacity</v>
      </c>
      <c r="H26" s="9" t="str">
        <f aca="false">IFERROR(INDEX('Test Case Design &amp; Test Results'!$G$10:$G$189,MATCH(B26,'Test Case Design &amp; Test Results'!$B$10:$B$189,0)),"")</f>
        <v>Pass</v>
      </c>
    </row>
    <row r="27" customFormat="false" ht="38.8" hidden="false" customHeight="false" outlineLevel="0" collapsed="false">
      <c r="A27" s="9" t="s">
        <v>559</v>
      </c>
      <c r="B27" s="9" t="s">
        <v>315</v>
      </c>
      <c r="C27" s="10" t="s">
        <v>542</v>
      </c>
      <c r="D27" s="10" t="s">
        <v>561</v>
      </c>
      <c r="E27" s="10" t="s">
        <v>272</v>
      </c>
      <c r="F27" s="10" t="s">
        <v>314</v>
      </c>
      <c r="G27" s="10" t="str">
        <f aca="false">IFERROR(INDEX('Test Case Design &amp; Test Results'!$F$10:$F$189,MATCH(B27,'Test Case Design &amp; Test Results'!$B$10:$B$189,0))&amp;"","")</f>
        <v>violation 1 รายการ ที่ field capacity</v>
      </c>
      <c r="H27" s="9" t="str">
        <f aca="false">IFERROR(INDEX('Test Case Design &amp; Test Results'!$G$10:$G$189,MATCH(B27,'Test Case Design &amp; Test Results'!$B$10:$B$189,0)),"")</f>
        <v>Pass</v>
      </c>
    </row>
    <row r="28" customFormat="false" ht="38.8" hidden="false" customHeight="false" outlineLevel="0" collapsed="false">
      <c r="A28" s="9" t="s">
        <v>559</v>
      </c>
      <c r="B28" s="9" t="s">
        <v>157</v>
      </c>
      <c r="C28" s="10" t="s">
        <v>545</v>
      </c>
      <c r="D28" s="10" t="s">
        <v>562</v>
      </c>
      <c r="E28" s="10" t="s">
        <v>563</v>
      </c>
      <c r="F28" s="14" t="s">
        <v>564</v>
      </c>
      <c r="G28" s="10" t="str">
        <f aca="false">IFERROR(INDEX('Test Case Design &amp; Test Results'!$F$10:$F$189,MATCH(B28,'Test Case Design &amp; Test Results'!$B$10:$B$189,0))&amp;"","")</f>
        <v>ไม่ผ่าน validation (capacity)</v>
      </c>
      <c r="H28" s="9" t="str">
        <f aca="false">IFERROR(INDEX('Test Case Design &amp; Test Results'!$G$10:$G$189,MATCH(B28,'Test Case Design &amp; Test Results'!$B$10:$B$189,0)),"")</f>
        <v>Pass</v>
      </c>
    </row>
    <row r="29" customFormat="false" ht="38.8" hidden="false" customHeight="false" outlineLevel="0" collapsed="false">
      <c r="A29" s="9" t="s">
        <v>565</v>
      </c>
      <c r="B29" s="9" t="s">
        <v>316</v>
      </c>
      <c r="C29" s="10" t="s">
        <v>542</v>
      </c>
      <c r="D29" s="10" t="s">
        <v>566</v>
      </c>
      <c r="E29" s="10" t="s">
        <v>276</v>
      </c>
      <c r="F29" s="10" t="s">
        <v>314</v>
      </c>
      <c r="G29" s="10" t="str">
        <f aca="false">IFERROR(INDEX('Test Case Design &amp; Test Results'!$F$10:$F$189,MATCH(B29,'Test Case Design &amp; Test Results'!$B$10:$B$189,0))&amp;"","")</f>
        <v>violation 1 รายการ ที่ field capacity</v>
      </c>
      <c r="H29" s="9" t="str">
        <f aca="false">IFERROR(INDEX('Test Case Design &amp; Test Results'!$G$10:$G$189,MATCH(B29,'Test Case Design &amp; Test Results'!$B$10:$B$189,0)),"")</f>
        <v>Pass</v>
      </c>
    </row>
  </sheetData>
  <mergeCells count="12">
    <mergeCell ref="A1:H1"/>
    <mergeCell ref="B3:E3"/>
    <mergeCell ref="B4:E4"/>
    <mergeCell ref="B5:E5"/>
    <mergeCell ref="A7:A8"/>
    <mergeCell ref="B7:B8"/>
    <mergeCell ref="C7:E7"/>
    <mergeCell ref="F7:F8"/>
    <mergeCell ref="G7:G8"/>
    <mergeCell ref="H7:H8"/>
    <mergeCell ref="A9:H9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568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17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23.1" hidden="false" customHeight="false" outlineLevel="0" collapsed="false">
      <c r="A4" s="1" t="s">
        <v>577</v>
      </c>
      <c r="B4" s="37" t="s">
        <v>578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580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582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76.1" hidden="false" customHeight="false" outlineLevel="0" collapsed="false">
      <c r="A9" s="9" t="n">
        <v>1</v>
      </c>
      <c r="B9" s="10" t="s">
        <v>590</v>
      </c>
      <c r="C9" s="10" t="s">
        <v>591</v>
      </c>
      <c r="D9" s="14" t="s">
        <v>592</v>
      </c>
      <c r="E9" s="14" t="s">
        <v>593</v>
      </c>
      <c r="F9" s="10" t="str">
        <f aca="false">IFERROR(INDEX('Test Case Design &amp; Test Results'!$F$10:$F$189,MATCH(H9,'Test Case Design &amp; Test Results'!$B$10:$B$189,0))&amp;"","")</f>
        <v>คืน id=1, name=Room A, roomType=VIP</v>
      </c>
      <c r="G9" s="9" t="str">
        <f aca="false">IFERROR(INDEX('Test Case Design &amp; Test Results'!$G$10:$G$189,MATCH(H9,'Test Case Design &amp; Test Results'!$B$10:$B$189,0)),"")</f>
        <v>Pass</v>
      </c>
      <c r="H9" s="9" t="s">
        <v>594</v>
      </c>
    </row>
    <row r="10" customFormat="false" ht="57.45" hidden="false" customHeight="false" outlineLevel="0" collapsed="false">
      <c r="A10" s="9" t="n">
        <v>2</v>
      </c>
      <c r="B10" s="10" t="s">
        <v>595</v>
      </c>
      <c r="C10" s="10" t="s">
        <v>596</v>
      </c>
      <c r="D10" s="10" t="s">
        <v>597</v>
      </c>
      <c r="E10" s="14" t="s">
        <v>598</v>
      </c>
      <c r="F10" s="10" t="str">
        <f aca="false">IFERROR(INDEX('Test Case Design &amp; Test Results'!$F$10:$F$189,MATCH(H10,'Test Case Design &amp; Test Results'!$B$10:$B$189,0))&amp;"","")</f>
        <v>คืนข้อมูลห้อง id=1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599</v>
      </c>
    </row>
    <row r="11" customFormat="false" ht="57.45" hidden="false" customHeight="false" outlineLevel="0" collapsed="false">
      <c r="A11" s="9" t="n">
        <v>3</v>
      </c>
      <c r="B11" s="10" t="s">
        <v>600</v>
      </c>
      <c r="C11" s="10" t="s">
        <v>601</v>
      </c>
      <c r="D11" s="10" t="s">
        <v>460</v>
      </c>
      <c r="E11" s="10" t="s">
        <v>476</v>
      </c>
      <c r="F11" s="10" t="str">
        <f aca="false">IFERROR(INDEX('Test Case Design &amp; Test Results'!$F$10:$F$189,MATCH(H11,'Test Case Design &amp; Test Results'!$B$10:$B$189,0))&amp;"","")</f>
        <v>throw ResourceNotFoundException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602</v>
      </c>
    </row>
    <row r="12" customFormat="false" ht="57.45" hidden="false" customHeight="false" outlineLevel="0" collapsed="false">
      <c r="A12" s="9" t="n">
        <v>4</v>
      </c>
      <c r="B12" s="10" t="s">
        <v>603</v>
      </c>
      <c r="C12" s="10" t="s">
        <v>604</v>
      </c>
      <c r="D12" s="14" t="s">
        <v>605</v>
      </c>
      <c r="E12" s="14" t="s">
        <v>606</v>
      </c>
      <c r="F12" s="10" t="str">
        <f aca="false">IFERROR(INDEX('Test Case Design &amp; Test Results'!$F$10:$F$189,MATCH(H12,'Test Case Design &amp; Test Results'!$B$10:$B$189,0))&amp;"","")</f>
        <v>คืน Page totalElements=2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607</v>
      </c>
    </row>
    <row r="13" customFormat="false" ht="94.75" hidden="false" customHeight="false" outlineLevel="0" collapsed="false">
      <c r="A13" s="9" t="n">
        <v>5</v>
      </c>
      <c r="B13" s="10" t="s">
        <v>608</v>
      </c>
      <c r="C13" s="10" t="s">
        <v>609</v>
      </c>
      <c r="D13" s="10" t="s">
        <v>467</v>
      </c>
      <c r="E13" s="14" t="s">
        <v>610</v>
      </c>
      <c r="F13" s="10" t="str">
        <f aca="false">IFERROR(INDEX('Test Case Design &amp; Test Results'!$F$10:$F$189,MATCH(H13,'Test Case Design &amp; Test Results'!$B$10:$B$189,0))&amp;"","")</f>
        <v>ข้อมูลเปลี่ยนเป็น Room B, 20, MAINTENANCE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611</v>
      </c>
    </row>
    <row r="14" customFormat="false" ht="57.45" hidden="false" customHeight="false" outlineLevel="0" collapsed="false">
      <c r="A14" s="9" t="n">
        <v>6</v>
      </c>
      <c r="B14" s="10" t="s">
        <v>612</v>
      </c>
      <c r="C14" s="10" t="s">
        <v>613</v>
      </c>
      <c r="D14" s="10" t="s">
        <v>460</v>
      </c>
      <c r="E14" s="10" t="s">
        <v>614</v>
      </c>
      <c r="F14" s="10" t="str">
        <f aca="false">IFERROR(INDEX('Test Case Design &amp; Test Results'!$F$10:$F$189,MATCH(H14,'Test Case Design &amp; Test Results'!$B$10:$B$189,0))&amp;"","")</f>
        <v>throw ResourceNotFoundException, save ไม่ถูกเรียก</v>
      </c>
      <c r="G14" s="9" t="str">
        <f aca="false">IFERROR(INDEX('Test Case Design &amp; Test Results'!$G$10:$G$189,MATCH(H14,'Test Case Design &amp; Test Results'!$B$10:$B$189,0)),"")</f>
        <v>Pass</v>
      </c>
      <c r="H14" s="9" t="s">
        <v>615</v>
      </c>
    </row>
    <row r="15" customFormat="false" ht="57.45" hidden="false" customHeight="false" outlineLevel="0" collapsed="false">
      <c r="A15" s="9" t="n">
        <v>7</v>
      </c>
      <c r="B15" s="10" t="s">
        <v>616</v>
      </c>
      <c r="C15" s="10" t="s">
        <v>617</v>
      </c>
      <c r="D15" s="10" t="s">
        <v>436</v>
      </c>
      <c r="E15" s="14" t="s">
        <v>437</v>
      </c>
      <c r="F15" s="10" t="str">
        <f aca="false">IFERROR(INDEX('Test Case Design &amp; Test Results'!$F$10:$F$189,MATCH(H15,'Test Case Design &amp; Test Results'!$B$10:$B$189,0))&amp;"","")</f>
        <v>delete(room) ถูกเรียก</v>
      </c>
      <c r="G15" s="9" t="str">
        <f aca="false">IFERROR(INDEX('Test Case Design &amp; Test Results'!$G$10:$G$189,MATCH(H15,'Test Case Design &amp; Test Results'!$B$10:$B$189,0)),"")</f>
        <v>Pass</v>
      </c>
      <c r="H15" s="9" t="s">
        <v>434</v>
      </c>
    </row>
    <row r="16" customFormat="false" ht="57.45" hidden="false" customHeight="false" outlineLevel="0" collapsed="false">
      <c r="A16" s="9" t="n">
        <v>8</v>
      </c>
      <c r="B16" s="10" t="s">
        <v>618</v>
      </c>
      <c r="C16" s="10" t="s">
        <v>619</v>
      </c>
      <c r="D16" s="10" t="s">
        <v>460</v>
      </c>
      <c r="E16" s="10" t="s">
        <v>461</v>
      </c>
      <c r="F16" s="10" t="str">
        <f aca="false">IFERROR(INDEX('Test Case Design &amp; Test Results'!$F$10:$F$189,MATCH(H16,'Test Case Design &amp; Test Results'!$B$10:$B$189,0))&amp;"","")</f>
        <v>throw ResourceNotFoundException, delete ไม่ถูกเรียก</v>
      </c>
      <c r="G16" s="9" t="str">
        <f aca="false">IFERROR(INDEX('Test Case Design &amp; Test Results'!$G$10:$G$189,MATCH(H16,'Test Case Design &amp; Test Results'!$B$10:$B$189,0)),"")</f>
        <v>Pass</v>
      </c>
      <c r="H16" s="9" t="s">
        <v>458</v>
      </c>
    </row>
    <row r="17" customFormat="false" ht="57.45" hidden="false" customHeight="false" outlineLevel="0" collapsed="false">
      <c r="A17" s="9" t="n">
        <v>9</v>
      </c>
      <c r="B17" s="10" t="s">
        <v>620</v>
      </c>
      <c r="C17" s="10" t="s">
        <v>617</v>
      </c>
      <c r="D17" s="10" t="s">
        <v>439</v>
      </c>
      <c r="E17" s="14" t="s">
        <v>440</v>
      </c>
      <c r="F17" s="10" t="str">
        <f aca="false">IFERROR(INDEX('Test Case Design &amp; Test Results'!$F$10:$F$189,MATCH(H17,'Test Case Design &amp; Test Results'!$B$10:$B$189,0))&amp;"","")</f>
        <v>flush() ถูกเรียก</v>
      </c>
      <c r="G17" s="9" t="str">
        <f aca="false">IFERROR(INDEX('Test Case Design &amp; Test Results'!$G$10:$G$189,MATCH(H17,'Test Case Design &amp; Test Results'!$B$10:$B$189,0)),"")</f>
        <v>Pass</v>
      </c>
      <c r="H17" s="9" t="s">
        <v>438</v>
      </c>
    </row>
    <row r="18" customFormat="false" ht="76.1" hidden="false" customHeight="false" outlineLevel="0" collapsed="false">
      <c r="A18" s="9" t="n">
        <v>10</v>
      </c>
      <c r="B18" s="10" t="s">
        <v>621</v>
      </c>
      <c r="C18" s="10" t="s">
        <v>622</v>
      </c>
      <c r="D18" s="14" t="s">
        <v>414</v>
      </c>
      <c r="E18" s="10" t="s">
        <v>415</v>
      </c>
      <c r="F18" s="10" t="str">
        <f aca="false">IFERROR(INDEX('Test Case Design &amp; Test Results'!$F$10:$F$189,MATCH(H18,'Test Case Design &amp; Test Results'!$B$10:$B$189,0))&amp;"","")</f>
        <v>throw ConflictException</v>
      </c>
      <c r="G18" s="9" t="str">
        <f aca="false">IFERROR(INDEX('Test Case Design &amp; Test Results'!$G$10:$G$189,MATCH(H18,'Test Case Design &amp; Test Results'!$B$10:$B$189,0)),"")</f>
        <v>Pass</v>
      </c>
      <c r="H18" s="9" t="s">
        <v>411</v>
      </c>
    </row>
    <row r="20" customFormat="false" ht="44.75" hidden="false" customHeight="true" outlineLevel="0" collapsed="false">
      <c r="A20" s="1" t="s">
        <v>623</v>
      </c>
      <c r="B20" s="40" t="s">
        <v>624</v>
      </c>
      <c r="C20" s="40"/>
      <c r="D20" s="40"/>
      <c r="E20" s="40"/>
    </row>
    <row r="21" customFormat="false" ht="22.05" hidden="false" customHeight="false" outlineLevel="0" collapsed="false">
      <c r="A21" s="1" t="s">
        <v>625</v>
      </c>
      <c r="B21" s="2" t="s">
        <v>18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626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21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44.75" hidden="false" customHeight="false" outlineLevel="0" collapsed="false">
      <c r="A4" s="1" t="s">
        <v>577</v>
      </c>
      <c r="B4" s="37" t="s">
        <v>627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628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629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94.75" hidden="false" customHeight="false" outlineLevel="0" collapsed="false">
      <c r="A9" s="9" t="n">
        <v>1</v>
      </c>
      <c r="B9" s="10" t="s">
        <v>630</v>
      </c>
      <c r="C9" s="10" t="s">
        <v>631</v>
      </c>
      <c r="D9" s="14" t="s">
        <v>592</v>
      </c>
      <c r="E9" s="14" t="s">
        <v>632</v>
      </c>
      <c r="F9" s="10" t="str">
        <f aca="false">IFERROR(INDEX('Test Case Design &amp; Test Results'!$F$10:$F$189,MATCH(H9,'Test Case Design &amp; Test Results'!$B$10:$B$189,0))&amp;"","")</f>
        <v>คืน id=1, totalQuantity=5</v>
      </c>
      <c r="G9" s="9" t="str">
        <f aca="false">IFERROR(INDEX('Test Case Design &amp; Test Results'!$G$10:$G$189,MATCH(H9,'Test Case Design &amp; Test Results'!$B$10:$B$189,0)),"")</f>
        <v>Pass</v>
      </c>
      <c r="H9" s="9" t="s">
        <v>633</v>
      </c>
    </row>
    <row r="10" customFormat="false" ht="57.45" hidden="false" customHeight="false" outlineLevel="0" collapsed="false">
      <c r="A10" s="9" t="n">
        <v>2</v>
      </c>
      <c r="B10" s="10" t="s">
        <v>634</v>
      </c>
      <c r="C10" s="10" t="s">
        <v>635</v>
      </c>
      <c r="D10" s="14" t="s">
        <v>472</v>
      </c>
      <c r="E10" s="10" t="s">
        <v>473</v>
      </c>
      <c r="F10" s="10" t="str">
        <f aca="false">IFERROR(INDEX('Test Case Design &amp; Test Results'!$F$10:$F$189,MATCH(H10,'Test Case Design &amp; Test Results'!$B$10:$B$189,0))&amp;"","")</f>
        <v>throw IllegalArgumentException, save ไม่ถูกเรียก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636</v>
      </c>
    </row>
    <row r="11" customFormat="false" ht="57.45" hidden="false" customHeight="false" outlineLevel="0" collapsed="false">
      <c r="A11" s="9" t="n">
        <v>3</v>
      </c>
      <c r="B11" s="10" t="s">
        <v>637</v>
      </c>
      <c r="C11" s="10" t="s">
        <v>638</v>
      </c>
      <c r="D11" s="10" t="s">
        <v>597</v>
      </c>
      <c r="E11" s="14" t="s">
        <v>639</v>
      </c>
      <c r="F11" s="10" t="str">
        <f aca="false">IFERROR(INDEX('Test Case Design &amp; Test Results'!$F$10:$F$189,MATCH(H11,'Test Case Design &amp; Test Results'!$B$10:$B$189,0))&amp;"","")</f>
        <v>คืนข้อมูลอุปกรณ์ id=1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640</v>
      </c>
    </row>
    <row r="12" customFormat="false" ht="57.45" hidden="false" customHeight="false" outlineLevel="0" collapsed="false">
      <c r="A12" s="9" t="n">
        <v>4</v>
      </c>
      <c r="B12" s="10" t="s">
        <v>641</v>
      </c>
      <c r="C12" s="10" t="s">
        <v>642</v>
      </c>
      <c r="D12" s="10" t="s">
        <v>460</v>
      </c>
      <c r="E12" s="10" t="s">
        <v>476</v>
      </c>
      <c r="F12" s="10" t="str">
        <f aca="false">IFERROR(INDEX('Test Case Design &amp; Test Results'!$F$10:$F$189,MATCH(H12,'Test Case Design &amp; Test Results'!$B$10:$B$189,0))&amp;"","")</f>
        <v>throw ResourceNotFoundException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643</v>
      </c>
    </row>
    <row r="13" customFormat="false" ht="76.1" hidden="false" customHeight="false" outlineLevel="0" collapsed="false">
      <c r="A13" s="9" t="n">
        <v>5</v>
      </c>
      <c r="B13" s="10" t="s">
        <v>644</v>
      </c>
      <c r="C13" s="10" t="s">
        <v>645</v>
      </c>
      <c r="D13" s="14" t="s">
        <v>605</v>
      </c>
      <c r="E13" s="14" t="s">
        <v>606</v>
      </c>
      <c r="F13" s="10" t="str">
        <f aca="false">IFERROR(INDEX('Test Case Design &amp; Test Results'!$F$10:$F$189,MATCH(H13,'Test Case Design &amp; Test Results'!$B$10:$B$189,0))&amp;"","")</f>
        <v>คืน Page totalElements=2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646</v>
      </c>
    </row>
    <row r="14" customFormat="false" ht="94.75" hidden="false" customHeight="false" outlineLevel="0" collapsed="false">
      <c r="A14" s="9" t="n">
        <v>6</v>
      </c>
      <c r="B14" s="10" t="s">
        <v>647</v>
      </c>
      <c r="C14" s="10" t="s">
        <v>648</v>
      </c>
      <c r="D14" s="10" t="s">
        <v>467</v>
      </c>
      <c r="E14" s="14" t="s">
        <v>468</v>
      </c>
      <c r="F14" s="10" t="str">
        <f aca="false">IFERROR(INDEX('Test Case Design &amp; Test Results'!$F$10:$F$189,MATCH(H14,'Test Case Design &amp; Test Results'!$B$10:$B$189,0))&amp;"","")</f>
        <v>ข้อมูลเปลี่ยนเป็น Microphone, 10</v>
      </c>
      <c r="G14" s="9" t="str">
        <f aca="false">IFERROR(INDEX('Test Case Design &amp; Test Results'!$G$10:$G$189,MATCH(H14,'Test Case Design &amp; Test Results'!$B$10:$B$189,0)),"")</f>
        <v>Pass</v>
      </c>
      <c r="H14" s="9" t="s">
        <v>464</v>
      </c>
    </row>
    <row r="15" customFormat="false" ht="57.45" hidden="false" customHeight="false" outlineLevel="0" collapsed="false">
      <c r="A15" s="9" t="n">
        <v>7</v>
      </c>
      <c r="B15" s="10" t="s">
        <v>649</v>
      </c>
      <c r="C15" s="10" t="s">
        <v>650</v>
      </c>
      <c r="D15" s="10" t="s">
        <v>460</v>
      </c>
      <c r="E15" s="10" t="s">
        <v>476</v>
      </c>
      <c r="F15" s="10" t="str">
        <f aca="false">IFERROR(INDEX('Test Case Design &amp; Test Results'!$F$10:$F$189,MATCH(H15,'Test Case Design &amp; Test Results'!$B$10:$B$189,0))&amp;"","")</f>
        <v>throw ResourceNotFoundException</v>
      </c>
      <c r="G15" s="9" t="str">
        <f aca="false">IFERROR(INDEX('Test Case Design &amp; Test Results'!$G$10:$G$189,MATCH(H15,'Test Case Design &amp; Test Results'!$B$10:$B$189,0)),"")</f>
        <v>Pass</v>
      </c>
      <c r="H15" s="9" t="s">
        <v>475</v>
      </c>
    </row>
    <row r="16" customFormat="false" ht="76.1" hidden="false" customHeight="false" outlineLevel="0" collapsed="false">
      <c r="A16" s="9" t="n">
        <v>8</v>
      </c>
      <c r="B16" s="10" t="s">
        <v>651</v>
      </c>
      <c r="C16" s="10" t="s">
        <v>652</v>
      </c>
      <c r="D16" s="14" t="s">
        <v>472</v>
      </c>
      <c r="E16" s="10" t="s">
        <v>473</v>
      </c>
      <c r="F16" s="10" t="str">
        <f aca="false">IFERROR(INDEX('Test Case Design &amp; Test Results'!$F$10:$F$189,MATCH(H16,'Test Case Design &amp; Test Results'!$B$10:$B$189,0))&amp;"","")</f>
        <v>throw IllegalArgumentException, save ไม่ถูกเรียก</v>
      </c>
      <c r="G16" s="9" t="str">
        <f aca="false">IFERROR(INDEX('Test Case Design &amp; Test Results'!$G$10:$G$189,MATCH(H16,'Test Case Design &amp; Test Results'!$B$10:$B$189,0)),"")</f>
        <v>Pass</v>
      </c>
      <c r="H16" s="9" t="s">
        <v>470</v>
      </c>
    </row>
    <row r="17" customFormat="false" ht="57.45" hidden="false" customHeight="false" outlineLevel="0" collapsed="false">
      <c r="A17" s="9" t="n">
        <v>9</v>
      </c>
      <c r="B17" s="10" t="s">
        <v>653</v>
      </c>
      <c r="C17" s="10" t="s">
        <v>654</v>
      </c>
      <c r="D17" s="10" t="s">
        <v>442</v>
      </c>
      <c r="E17" s="14" t="s">
        <v>443</v>
      </c>
      <c r="F17" s="10" t="str">
        <f aca="false">IFERROR(INDEX('Test Case Design &amp; Test Results'!$F$10:$F$189,MATCH(H17,'Test Case Design &amp; Test Results'!$B$10:$B$189,0))&amp;"","")</f>
        <v>delete(equipment) ถูกเรียก</v>
      </c>
      <c r="G17" s="9" t="str">
        <f aca="false">IFERROR(INDEX('Test Case Design &amp; Test Results'!$G$10:$G$189,MATCH(H17,'Test Case Design &amp; Test Results'!$B$10:$B$189,0)),"")</f>
        <v>Pass</v>
      </c>
      <c r="H17" s="9" t="s">
        <v>441</v>
      </c>
    </row>
    <row r="18" customFormat="false" ht="57.45" hidden="false" customHeight="false" outlineLevel="0" collapsed="false">
      <c r="A18" s="9" t="n">
        <v>10</v>
      </c>
      <c r="B18" s="10" t="s">
        <v>655</v>
      </c>
      <c r="C18" s="10" t="s">
        <v>656</v>
      </c>
      <c r="D18" s="10" t="s">
        <v>460</v>
      </c>
      <c r="E18" s="10" t="s">
        <v>461</v>
      </c>
      <c r="F18" s="10" t="str">
        <f aca="false">IFERROR(INDEX('Test Case Design &amp; Test Results'!$F$10:$F$189,MATCH(H18,'Test Case Design &amp; Test Results'!$B$10:$B$189,0))&amp;"","")</f>
        <v>throw ResourceNotFoundException, delete ไม่ถูกเรียก</v>
      </c>
      <c r="G18" s="9" t="str">
        <f aca="false">IFERROR(INDEX('Test Case Design &amp; Test Results'!$G$10:$G$189,MATCH(H18,'Test Case Design &amp; Test Results'!$B$10:$B$189,0)),"")</f>
        <v>Pass</v>
      </c>
      <c r="H18" s="9" t="s">
        <v>462</v>
      </c>
    </row>
    <row r="19" customFormat="false" ht="76.1" hidden="false" customHeight="false" outlineLevel="0" collapsed="false">
      <c r="A19" s="9" t="n">
        <v>11</v>
      </c>
      <c r="B19" s="10" t="s">
        <v>657</v>
      </c>
      <c r="C19" s="10" t="s">
        <v>654</v>
      </c>
      <c r="D19" s="10" t="s">
        <v>439</v>
      </c>
      <c r="E19" s="14" t="s">
        <v>440</v>
      </c>
      <c r="F19" s="10" t="str">
        <f aca="false">IFERROR(INDEX('Test Case Design &amp; Test Results'!$F$10:$F$189,MATCH(H19,'Test Case Design &amp; Test Results'!$B$10:$B$189,0))&amp;"","")</f>
        <v>flush() ถูกเรียก</v>
      </c>
      <c r="G19" s="9" t="str">
        <f aca="false">IFERROR(INDEX('Test Case Design &amp; Test Results'!$G$10:$G$189,MATCH(H19,'Test Case Design &amp; Test Results'!$B$10:$B$189,0)),"")</f>
        <v>Pass</v>
      </c>
      <c r="H19" s="9" t="s">
        <v>444</v>
      </c>
    </row>
    <row r="20" customFormat="false" ht="76.1" hidden="false" customHeight="false" outlineLevel="0" collapsed="false">
      <c r="A20" s="9" t="n">
        <v>12</v>
      </c>
      <c r="B20" s="10" t="s">
        <v>658</v>
      </c>
      <c r="C20" s="10" t="s">
        <v>659</v>
      </c>
      <c r="D20" s="14" t="s">
        <v>418</v>
      </c>
      <c r="E20" s="10" t="s">
        <v>415</v>
      </c>
      <c r="F20" s="10" t="str">
        <f aca="false">IFERROR(INDEX('Test Case Design &amp; Test Results'!$F$10:$F$189,MATCH(H20,'Test Case Design &amp; Test Results'!$B$10:$B$189,0))&amp;"","")</f>
        <v>throw ConflictException</v>
      </c>
      <c r="G20" s="9" t="str">
        <f aca="false">IFERROR(INDEX('Test Case Design &amp; Test Results'!$G$10:$G$189,MATCH(H20,'Test Case Design &amp; Test Results'!$B$10:$B$189,0)),"")</f>
        <v>Pass</v>
      </c>
      <c r="H20" s="9" t="s">
        <v>416</v>
      </c>
    </row>
    <row r="22" customFormat="false" ht="23.1" hidden="false" customHeight="true" outlineLevel="0" collapsed="false">
      <c r="A22" s="1" t="s">
        <v>623</v>
      </c>
      <c r="B22" s="40" t="s">
        <v>660</v>
      </c>
      <c r="C22" s="40"/>
      <c r="D22" s="40"/>
      <c r="E22" s="40"/>
    </row>
    <row r="23" customFormat="false" ht="22.05" hidden="false" customHeight="false" outlineLevel="0" collapsed="false">
      <c r="A23" s="1" t="s">
        <v>625</v>
      </c>
      <c r="B23" s="2" t="s">
        <v>22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661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25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109.7" hidden="false" customHeight="false" outlineLevel="0" collapsed="false">
      <c r="A4" s="1" t="s">
        <v>577</v>
      </c>
      <c r="B4" s="37" t="s">
        <v>662</v>
      </c>
      <c r="C4" s="1" t="s">
        <v>109</v>
      </c>
      <c r="D4" s="38" t="s">
        <v>110</v>
      </c>
      <c r="E4" s="38"/>
    </row>
    <row r="5" customFormat="false" ht="22.05" hidden="false" customHeight="false" outlineLevel="0" collapsed="false">
      <c r="A5" s="1" t="s">
        <v>579</v>
      </c>
      <c r="B5" s="38" t="s">
        <v>40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663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38.8" hidden="false" customHeight="false" outlineLevel="0" collapsed="false">
      <c r="A9" s="9" t="n">
        <v>1</v>
      </c>
      <c r="B9" s="10" t="s">
        <v>664</v>
      </c>
      <c r="C9" s="10" t="s">
        <v>665</v>
      </c>
      <c r="D9" s="14" t="s">
        <v>481</v>
      </c>
      <c r="E9" s="14" t="s">
        <v>482</v>
      </c>
      <c r="F9" s="10" t="str">
        <f aca="false">IFERROR(INDEX('Test Case Design &amp; Test Results'!$F$10:$F$189,MATCH(H9,'Test Case Design &amp; Test Results'!$B$10:$B$189,0))&amp;"","")</f>
        <v>true</v>
      </c>
      <c r="G9" s="9" t="str">
        <f aca="false">IFERROR(INDEX('Test Case Design &amp; Test Results'!$G$10:$G$189,MATCH(H9,'Test Case Design &amp; Test Results'!$B$10:$B$189,0)),"")</f>
        <v>Pass</v>
      </c>
      <c r="H9" s="9" t="s">
        <v>478</v>
      </c>
    </row>
    <row r="10" customFormat="false" ht="57.45" hidden="false" customHeight="false" outlineLevel="0" collapsed="false">
      <c r="A10" s="9" t="n">
        <v>2</v>
      </c>
      <c r="B10" s="10" t="s">
        <v>666</v>
      </c>
      <c r="C10" s="10" t="s">
        <v>667</v>
      </c>
      <c r="D10" s="14" t="s">
        <v>495</v>
      </c>
      <c r="E10" s="14" t="s">
        <v>496</v>
      </c>
      <c r="F10" s="10" t="str">
        <f aca="false">IFERROR(INDEX('Test Case Design &amp; Test Results'!$F$10:$F$189,MATCH(H10,'Test Case Design &amp; Test Results'!$B$10:$B$189,0))&amp;"","")</f>
        <v>false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493</v>
      </c>
    </row>
    <row r="11" customFormat="false" ht="57.45" hidden="false" customHeight="false" outlineLevel="0" collapsed="false">
      <c r="A11" s="9" t="n">
        <v>3</v>
      </c>
      <c r="B11" s="10" t="s">
        <v>668</v>
      </c>
      <c r="C11" s="10" t="s">
        <v>669</v>
      </c>
      <c r="D11" s="14" t="s">
        <v>486</v>
      </c>
      <c r="E11" s="14" t="s">
        <v>487</v>
      </c>
      <c r="F11" s="10" t="str">
        <f aca="false">IFERROR(INDEX('Test Case Design &amp; Test Results'!$F$10:$F$189,MATCH(H11,'Test Case Design &amp; Test Results'!$B$10:$B$189,0))&amp;"","")</f>
        <v>VipRoomRuleStrategy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483</v>
      </c>
    </row>
    <row r="12" customFormat="false" ht="57.45" hidden="false" customHeight="false" outlineLevel="0" collapsed="false">
      <c r="A12" s="9" t="n">
        <v>4</v>
      </c>
      <c r="B12" s="10" t="s">
        <v>670</v>
      </c>
      <c r="C12" s="10" t="s">
        <v>671</v>
      </c>
      <c r="D12" s="14" t="s">
        <v>499</v>
      </c>
      <c r="E12" s="14" t="s">
        <v>500</v>
      </c>
      <c r="F12" s="10" t="str">
        <f aca="false">IFERROR(INDEX('Test Case Design &amp; Test Results'!$F$10:$F$189,MATCH(H12,'Test Case Design &amp; Test Results'!$B$10:$B$189,0))&amp;"","")</f>
        <v>StandardRoomRuleStrategy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497</v>
      </c>
    </row>
    <row r="13" customFormat="false" ht="76.1" hidden="false" customHeight="false" outlineLevel="0" collapsed="false">
      <c r="A13" s="9" t="n">
        <v>5</v>
      </c>
      <c r="B13" s="10" t="s">
        <v>672</v>
      </c>
      <c r="C13" s="10" t="s">
        <v>673</v>
      </c>
      <c r="D13" s="14" t="s">
        <v>508</v>
      </c>
      <c r="E13" s="10" t="s">
        <v>509</v>
      </c>
      <c r="F13" s="10" t="str">
        <f aca="false">IFERROR(INDEX('Test Case Design &amp; Test Results'!$F$10:$F$189,MATCH(H13,'Test Case Design &amp; Test Results'!$B$10:$B$189,0))&amp;"","")</f>
        <v>throw IllegalArgumentException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506</v>
      </c>
    </row>
    <row r="15" customFormat="false" ht="23.1" hidden="false" customHeight="true" outlineLevel="0" collapsed="false">
      <c r="A15" s="1" t="s">
        <v>623</v>
      </c>
      <c r="B15" s="40" t="s">
        <v>674</v>
      </c>
      <c r="C15" s="40"/>
      <c r="D15" s="40"/>
      <c r="E15" s="40"/>
    </row>
    <row r="16" customFormat="false" ht="22.05" hidden="false" customHeight="false" outlineLevel="0" collapsed="false">
      <c r="A16" s="1" t="s">
        <v>625</v>
      </c>
      <c r="B16" s="2" t="s">
        <v>26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675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28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44.75" hidden="false" customHeight="false" outlineLevel="0" collapsed="false">
      <c r="A4" s="1" t="s">
        <v>577</v>
      </c>
      <c r="B4" s="37" t="s">
        <v>676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677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678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94.75" hidden="false" customHeight="false" outlineLevel="0" collapsed="false">
      <c r="A9" s="9" t="n">
        <v>1</v>
      </c>
      <c r="B9" s="10" t="s">
        <v>679</v>
      </c>
      <c r="C9" s="10" t="s">
        <v>680</v>
      </c>
      <c r="D9" s="14" t="s">
        <v>495</v>
      </c>
      <c r="E9" s="10" t="s">
        <v>503</v>
      </c>
      <c r="F9" s="10" t="str">
        <f aca="false">IFERROR(INDEX('Test Case Design &amp; Test Results'!$F$10:$F$189,MATCH(H9,'Test Case Design &amp; Test Results'!$B$10:$B$189,0))&amp;"","")</f>
        <v>status = APPROVED, save เป็น APPROVED</v>
      </c>
      <c r="G9" s="9" t="str">
        <f aca="false">IFERROR(INDEX('Test Case Design &amp; Test Results'!$G$10:$G$189,MATCH(H9,'Test Case Design &amp; Test Results'!$B$10:$B$189,0)),"")</f>
        <v>Pass</v>
      </c>
      <c r="H9" s="9" t="s">
        <v>501</v>
      </c>
    </row>
    <row r="10" customFormat="false" ht="76.1" hidden="false" customHeight="false" outlineLevel="0" collapsed="false">
      <c r="A10" s="9" t="n">
        <v>2</v>
      </c>
      <c r="B10" s="10" t="s">
        <v>681</v>
      </c>
      <c r="C10" s="10" t="s">
        <v>682</v>
      </c>
      <c r="D10" s="14" t="s">
        <v>481</v>
      </c>
      <c r="E10" s="10" t="s">
        <v>491</v>
      </c>
      <c r="F10" s="10" t="str">
        <f aca="false">IFERROR(INDEX('Test Case Design &amp; Test Results'!$F$10:$F$189,MATCH(H10,'Test Case Design &amp; Test Results'!$B$10:$B$189,0))&amp;"","")</f>
        <v>status = PENDING, save เป็น PENDING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488</v>
      </c>
    </row>
    <row r="12" customFormat="false" ht="23.1" hidden="false" customHeight="true" outlineLevel="0" collapsed="false">
      <c r="A12" s="1" t="s">
        <v>623</v>
      </c>
      <c r="B12" s="24" t="s">
        <v>40</v>
      </c>
      <c r="C12" s="24"/>
      <c r="D12" s="24"/>
      <c r="E12" s="24"/>
    </row>
    <row r="13" customFormat="false" ht="22.05" hidden="false" customHeight="false" outlineLevel="0" collapsed="false">
      <c r="A13" s="1" t="s">
        <v>625</v>
      </c>
      <c r="B13" s="2" t="s">
        <v>29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683</v>
      </c>
      <c r="C1" s="1" t="s">
        <v>569</v>
      </c>
      <c r="D1" s="38" t="s">
        <v>570</v>
      </c>
      <c r="E1" s="38"/>
    </row>
    <row r="2" customFormat="false" ht="23.1" hidden="false" customHeight="false" outlineLevel="0" collapsed="false">
      <c r="A2" s="1" t="s">
        <v>571</v>
      </c>
      <c r="B2" s="37" t="s">
        <v>32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66.4" hidden="false" customHeight="false" outlineLevel="0" collapsed="false">
      <c r="A4" s="1" t="s">
        <v>577</v>
      </c>
      <c r="B4" s="37" t="s">
        <v>684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685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686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94.75" hidden="false" customHeight="false" outlineLevel="0" collapsed="false">
      <c r="A9" s="9" t="n">
        <v>1</v>
      </c>
      <c r="B9" s="10" t="s">
        <v>687</v>
      </c>
      <c r="C9" s="10" t="s">
        <v>688</v>
      </c>
      <c r="D9" s="10" t="s">
        <v>514</v>
      </c>
      <c r="E9" s="10" t="s">
        <v>515</v>
      </c>
      <c r="F9" s="10" t="str">
        <f aca="false">IFERROR(INDEX('Test Case Design &amp; Test Results'!$F$10:$F$189,MATCH(H9,'Test Case Design &amp; Test Results'!$B$10:$B$189,0))&amp;"","")</f>
        <v>201 Created, id=1</v>
      </c>
      <c r="G9" s="9" t="str">
        <f aca="false">IFERROR(INDEX('Test Case Design &amp; Test Results'!$G$10:$G$189,MATCH(H9,'Test Case Design &amp; Test Results'!$B$10:$B$189,0)),"")</f>
        <v>Pass</v>
      </c>
      <c r="H9" s="9" t="s">
        <v>511</v>
      </c>
    </row>
    <row r="10" customFormat="false" ht="76.1" hidden="false" customHeight="false" outlineLevel="0" collapsed="false">
      <c r="A10" s="9" t="n">
        <v>2</v>
      </c>
      <c r="B10" s="10" t="s">
        <v>689</v>
      </c>
      <c r="C10" s="10" t="s">
        <v>690</v>
      </c>
      <c r="D10" s="10" t="s">
        <v>525</v>
      </c>
      <c r="E10" s="10" t="s">
        <v>526</v>
      </c>
      <c r="F10" s="10" t="str">
        <f aca="false">IFERROR(INDEX('Test Case Design &amp; Test Results'!$F$10:$F$189,MATCH(H10,'Test Case Design &amp; Test Results'!$B$10:$B$189,0))&amp;"","")</f>
        <v>400 Bad Request, service ไม่ถูกเรียก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523</v>
      </c>
    </row>
    <row r="11" customFormat="false" ht="57.45" hidden="false" customHeight="false" outlineLevel="0" collapsed="false">
      <c r="A11" s="9" t="n">
        <v>3</v>
      </c>
      <c r="B11" s="10" t="s">
        <v>691</v>
      </c>
      <c r="C11" s="10" t="s">
        <v>692</v>
      </c>
      <c r="D11" s="10" t="s">
        <v>460</v>
      </c>
      <c r="E11" s="10" t="s">
        <v>693</v>
      </c>
      <c r="F11" s="10" t="str">
        <f aca="false">IFERROR(INDEX('Test Case Design &amp; Test Results'!$F$10:$F$189,MATCH(H11,'Test Case Design &amp; Test Results'!$B$10:$B$189,0))&amp;"","")</f>
        <v>404 Not Found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694</v>
      </c>
    </row>
    <row r="12" customFormat="false" ht="57.45" hidden="false" customHeight="false" outlineLevel="0" collapsed="false">
      <c r="A12" s="9" t="n">
        <v>4</v>
      </c>
      <c r="B12" s="10" t="s">
        <v>695</v>
      </c>
      <c r="C12" s="10" t="s">
        <v>696</v>
      </c>
      <c r="D12" s="14" t="s">
        <v>446</v>
      </c>
      <c r="E12" s="10" t="s">
        <v>447</v>
      </c>
      <c r="F12" s="10" t="str">
        <f aca="false">IFERROR(INDEX('Test Case Design &amp; Test Results'!$F$10:$F$189,MATCH(H12,'Test Case Design &amp; Test Results'!$B$10:$B$189,0))&amp;"","")</f>
        <v>204 No Content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445</v>
      </c>
    </row>
    <row r="13" customFormat="false" ht="57.45" hidden="false" customHeight="false" outlineLevel="0" collapsed="false">
      <c r="A13" s="9" t="n">
        <v>5</v>
      </c>
      <c r="B13" s="10" t="s">
        <v>697</v>
      </c>
      <c r="C13" s="10" t="s">
        <v>698</v>
      </c>
      <c r="D13" s="14" t="s">
        <v>414</v>
      </c>
      <c r="E13" s="10" t="s">
        <v>422</v>
      </c>
      <c r="F13" s="10" t="str">
        <f aca="false">IFERROR(INDEX('Test Case Design &amp; Test Results'!$F$10:$F$189,MATCH(H13,'Test Case Design &amp; Test Results'!$B$10:$B$189,0))&amp;"","")</f>
        <v>409 Conflict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419</v>
      </c>
    </row>
    <row r="14" customFormat="false" ht="76.1" hidden="false" customHeight="false" outlineLevel="0" collapsed="false">
      <c r="A14" s="9" t="n">
        <v>6</v>
      </c>
      <c r="B14" s="10" t="s">
        <v>699</v>
      </c>
      <c r="C14" s="10" t="s">
        <v>700</v>
      </c>
      <c r="D14" s="10" t="s">
        <v>529</v>
      </c>
      <c r="E14" s="10" t="s">
        <v>526</v>
      </c>
      <c r="F14" s="10" t="str">
        <f aca="false">IFERROR(INDEX('Test Case Design &amp; Test Results'!$F$10:$F$189,MATCH(H14,'Test Case Design &amp; Test Results'!$B$10:$B$189,0))&amp;"","")</f>
        <v>400 Bad Request และไม่เรียก service</v>
      </c>
      <c r="G14" s="9" t="str">
        <f aca="false">IFERROR(INDEX('Test Case Design &amp; Test Results'!$G$10:$G$189,MATCH(H14,'Test Case Design &amp; Test Results'!$B$10:$B$189,0)),"")</f>
        <v>Pass</v>
      </c>
      <c r="H14" s="9" t="s">
        <v>527</v>
      </c>
    </row>
    <row r="16" customFormat="false" ht="23.1" hidden="false" customHeight="true" outlineLevel="0" collapsed="false">
      <c r="A16" s="1" t="s">
        <v>623</v>
      </c>
      <c r="B16" s="40" t="s">
        <v>701</v>
      </c>
      <c r="C16" s="40"/>
      <c r="D16" s="40"/>
      <c r="E16" s="40"/>
    </row>
    <row r="17" customFormat="false" ht="22.05" hidden="false" customHeight="false" outlineLevel="0" collapsed="false">
      <c r="A17" s="1" t="s">
        <v>625</v>
      </c>
      <c r="B17" s="2" t="s">
        <v>33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702</v>
      </c>
      <c r="C1" s="1" t="s">
        <v>569</v>
      </c>
      <c r="D1" s="38" t="s">
        <v>570</v>
      </c>
      <c r="E1" s="38"/>
    </row>
    <row r="2" customFormat="false" ht="23.1" hidden="false" customHeight="false" outlineLevel="0" collapsed="false">
      <c r="A2" s="1" t="s">
        <v>571</v>
      </c>
      <c r="B2" s="37" t="s">
        <v>36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88.05" hidden="false" customHeight="false" outlineLevel="0" collapsed="false">
      <c r="A4" s="1" t="s">
        <v>577</v>
      </c>
      <c r="B4" s="37" t="s">
        <v>703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704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705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94.75" hidden="false" customHeight="false" outlineLevel="0" collapsed="false">
      <c r="A9" s="9" t="n">
        <v>1</v>
      </c>
      <c r="B9" s="10" t="s">
        <v>706</v>
      </c>
      <c r="C9" s="10" t="s">
        <v>707</v>
      </c>
      <c r="D9" s="10" t="s">
        <v>514</v>
      </c>
      <c r="E9" s="10" t="s">
        <v>515</v>
      </c>
      <c r="F9" s="10" t="str">
        <f aca="false">IFERROR(INDEX('Test Case Design &amp; Test Results'!$F$10:$F$189,MATCH(H9,'Test Case Design &amp; Test Results'!$B$10:$B$189,0))&amp;"","")</f>
        <v>201 Created, id=1</v>
      </c>
      <c r="G9" s="9" t="str">
        <f aca="false">IFERROR(INDEX('Test Case Design &amp; Test Results'!$G$10:$G$189,MATCH(H9,'Test Case Design &amp; Test Results'!$B$10:$B$189,0)),"")</f>
        <v>Pass</v>
      </c>
      <c r="H9" s="9" t="s">
        <v>516</v>
      </c>
    </row>
    <row r="10" customFormat="false" ht="76.1" hidden="false" customHeight="false" outlineLevel="0" collapsed="false">
      <c r="A10" s="9" t="n">
        <v>2</v>
      </c>
      <c r="B10" s="10" t="s">
        <v>708</v>
      </c>
      <c r="C10" s="10" t="s">
        <v>709</v>
      </c>
      <c r="D10" s="14" t="s">
        <v>472</v>
      </c>
      <c r="E10" s="10" t="s">
        <v>526</v>
      </c>
      <c r="F10" s="10" t="str">
        <f aca="false">IFERROR(INDEX('Test Case Design &amp; Test Results'!$F$10:$F$189,MATCH(H10,'Test Case Design &amp; Test Results'!$B$10:$B$189,0))&amp;"","")</f>
        <v>400 Bad Request, service ไม่ถูกเรียก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530</v>
      </c>
    </row>
    <row r="11" customFormat="false" ht="76.1" hidden="false" customHeight="false" outlineLevel="0" collapsed="false">
      <c r="A11" s="9" t="n">
        <v>3</v>
      </c>
      <c r="B11" s="10" t="s">
        <v>710</v>
      </c>
      <c r="C11" s="10" t="s">
        <v>711</v>
      </c>
      <c r="D11" s="10" t="s">
        <v>535</v>
      </c>
      <c r="E11" s="10" t="s">
        <v>526</v>
      </c>
      <c r="F11" s="10" t="str">
        <f aca="false">IFERROR(INDEX('Test Case Design &amp; Test Results'!$F$10:$F$189,MATCH(H11,'Test Case Design &amp; Test Results'!$B$10:$B$189,0))&amp;"","")</f>
        <v>400 Bad Request, service ไม่ถูกเรียก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532</v>
      </c>
    </row>
    <row r="12" customFormat="false" ht="57.45" hidden="false" customHeight="false" outlineLevel="0" collapsed="false">
      <c r="A12" s="9" t="n">
        <v>4</v>
      </c>
      <c r="B12" s="10" t="s">
        <v>712</v>
      </c>
      <c r="C12" s="10" t="s">
        <v>713</v>
      </c>
      <c r="D12" s="10" t="s">
        <v>460</v>
      </c>
      <c r="E12" s="10" t="s">
        <v>693</v>
      </c>
      <c r="F12" s="10" t="str">
        <f aca="false">IFERROR(INDEX('Test Case Design &amp; Test Results'!$F$10:$F$189,MATCH(H12,'Test Case Design &amp; Test Results'!$B$10:$B$189,0))&amp;"","")</f>
        <v>404 Not Found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714</v>
      </c>
    </row>
    <row r="13" customFormat="false" ht="76.1" hidden="false" customHeight="false" outlineLevel="0" collapsed="false">
      <c r="A13" s="9" t="n">
        <v>5</v>
      </c>
      <c r="B13" s="10" t="s">
        <v>715</v>
      </c>
      <c r="C13" s="10" t="s">
        <v>716</v>
      </c>
      <c r="D13" s="14" t="s">
        <v>418</v>
      </c>
      <c r="E13" s="10" t="s">
        <v>422</v>
      </c>
      <c r="F13" s="10" t="str">
        <f aca="false">IFERROR(INDEX('Test Case Design &amp; Test Results'!$F$10:$F$189,MATCH(H13,'Test Case Design &amp; Test Results'!$B$10:$B$189,0))&amp;"","")</f>
        <v>409 Conflict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423</v>
      </c>
    </row>
    <row r="15" customFormat="false" ht="23.1" hidden="false" customHeight="true" outlineLevel="0" collapsed="false">
      <c r="A15" s="1" t="s">
        <v>623</v>
      </c>
      <c r="B15" s="40" t="s">
        <v>701</v>
      </c>
      <c r="C15" s="40"/>
      <c r="D15" s="40"/>
      <c r="E15" s="40"/>
    </row>
    <row r="16" customFormat="false" ht="22.05" hidden="false" customHeight="false" outlineLevel="0" collapsed="false">
      <c r="A16" s="1" t="s">
        <v>625</v>
      </c>
      <c r="B16" s="2" t="s">
        <v>33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717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39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66.4" hidden="false" customHeight="false" outlineLevel="0" collapsed="false">
      <c r="A4" s="1" t="s">
        <v>577</v>
      </c>
      <c r="B4" s="37" t="s">
        <v>718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42" t="s">
        <v>719</v>
      </c>
      <c r="C5" s="42"/>
      <c r="D5" s="42"/>
      <c r="E5" s="42"/>
    </row>
    <row r="6" customFormat="false" ht="72" hidden="false" customHeight="true" outlineLevel="0" collapsed="false">
      <c r="A6" s="1" t="s">
        <v>581</v>
      </c>
      <c r="B6" s="40" t="s">
        <v>720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57.45" hidden="false" customHeight="false" outlineLevel="0" collapsed="false">
      <c r="A9" s="9" t="n">
        <v>1</v>
      </c>
      <c r="B9" s="10" t="s">
        <v>82</v>
      </c>
      <c r="C9" s="14" t="s">
        <v>721</v>
      </c>
      <c r="D9" s="10" t="s">
        <v>83</v>
      </c>
      <c r="E9" s="14" t="s">
        <v>722</v>
      </c>
      <c r="F9" s="10" t="str">
        <f aca="false">IF(COUNTIFS('Test Case Design &amp; Test Results'!$B$10:$B$189,"TC-BVR-N??",'Test Case Design &amp; Test Results'!$G$10:$G$189,"Pass")=9,"ผ่านครบ 9 เคส","")</f>
        <v>ผ่านครบ 9 เคส</v>
      </c>
      <c r="G9" s="9" t="str">
        <f aca="false">IF(COUNTIFS('Test Case Design &amp; Test Results'!$B$10:$B$189,"TC-BVR-N??",'Test Case Design &amp; Test Results'!$G$10:$G$189,"Fail")&gt;0,"Fail",IF(COUNTIFS('Test Case Design &amp; Test Results'!$B$10:$B$189,"TC-BVR-N??",'Test Case Design &amp; Test Results'!$G$10:$G$189,"Pass")=9,"Pass","No run"))</f>
        <v>Pass</v>
      </c>
      <c r="H9" s="9" t="s">
        <v>723</v>
      </c>
    </row>
    <row r="10" customFormat="false" ht="76.1" hidden="false" customHeight="false" outlineLevel="0" collapsed="false">
      <c r="A10" s="9" t="n">
        <v>2</v>
      </c>
      <c r="B10" s="10" t="s">
        <v>84</v>
      </c>
      <c r="C10" s="14" t="s">
        <v>724</v>
      </c>
      <c r="D10" s="10" t="s">
        <v>85</v>
      </c>
      <c r="E10" s="14" t="s">
        <v>722</v>
      </c>
      <c r="F10" s="10" t="str">
        <f aca="false">IF(COUNTIFS('Test Case Design &amp; Test Results'!$B$10:$B$189,"TC-BVR-R??",'Test Case Design &amp; Test Results'!$G$10:$G$189,"Pass")=12,"ผ่านครบ 12 เคส","")</f>
        <v>ผ่านครบ 12 เคส</v>
      </c>
      <c r="G10" s="9" t="str">
        <f aca="false">IF(COUNTIFS('Test Case Design &amp; Test Results'!$B$10:$B$189,"TC-BVR-R??",'Test Case Design &amp; Test Results'!$G$10:$G$189,"Fail")&gt;0,"Fail",IF(COUNTIFS('Test Case Design &amp; Test Results'!$B$10:$B$189,"TC-BVR-R??",'Test Case Design &amp; Test Results'!$G$10:$G$189,"Pass")=12,"Pass","No run"))</f>
        <v>Pass</v>
      </c>
      <c r="H10" s="9" t="s">
        <v>725</v>
      </c>
    </row>
    <row r="11" customFormat="false" ht="76.1" hidden="false" customHeight="false" outlineLevel="0" collapsed="false">
      <c r="A11" s="9" t="n">
        <v>3</v>
      </c>
      <c r="B11" s="10" t="s">
        <v>86</v>
      </c>
      <c r="C11" s="14" t="s">
        <v>726</v>
      </c>
      <c r="D11" s="10" t="s">
        <v>87</v>
      </c>
      <c r="E11" s="14" t="s">
        <v>722</v>
      </c>
      <c r="F11" s="10" t="str">
        <f aca="false">IF(COUNTIFS('Test Case Design &amp; Test Results'!$B$10:$B$189,"TC-BVR-W??",'Test Case Design &amp; Test Results'!$G$10:$G$189,"Pass")=25,"ผ่านครบ 25 เคส","")</f>
        <v>ผ่านครบ 25 เคส</v>
      </c>
      <c r="G11" s="9" t="str">
        <f aca="false">IF(COUNTIFS('Test Case Design &amp; Test Results'!$B$10:$B$189,"TC-BVR-W??",'Test Case Design &amp; Test Results'!$G$10:$G$189,"Fail")&gt;0,"Fail",IF(COUNTIFS('Test Case Design &amp; Test Results'!$B$10:$B$189,"TC-BVR-W??",'Test Case Design &amp; Test Results'!$G$10:$G$189,"Pass")=25,"Pass","No run"))</f>
        <v>Pass</v>
      </c>
      <c r="H11" s="9" t="s">
        <v>727</v>
      </c>
    </row>
    <row r="12" customFormat="false" ht="76.1" hidden="false" customHeight="false" outlineLevel="0" collapsed="false">
      <c r="A12" s="9" t="n">
        <v>4</v>
      </c>
      <c r="B12" s="10" t="s">
        <v>88</v>
      </c>
      <c r="C12" s="14" t="s">
        <v>728</v>
      </c>
      <c r="D12" s="10" t="s">
        <v>729</v>
      </c>
      <c r="E12" s="14" t="s">
        <v>722</v>
      </c>
      <c r="F12" s="10" t="str">
        <f aca="false">IF(COUNTIFS('Test Case Design &amp; Test Results'!$B$10:$B$189,"TC-BVR-RW??",'Test Case Design &amp; Test Results'!$G$10:$G$189,"Pass")=42,"ผ่านครบ 42 เคส","")</f>
        <v>ผ่านครบ 42 เคส</v>
      </c>
      <c r="G12" s="9" t="str">
        <f aca="false">IF(COUNTIFS('Test Case Design &amp; Test Results'!$B$10:$B$189,"TC-BVR-RW??",'Test Case Design &amp; Test Results'!$G$10:$G$189,"Fail")&gt;0,"Fail",IF(COUNTIFS('Test Case Design &amp; Test Results'!$B$10:$B$189,"TC-BVR-RW??",'Test Case Design &amp; Test Results'!$G$10:$G$189,"Pass")=42,"Pass","No run"))</f>
        <v>Pass</v>
      </c>
      <c r="H12" s="9" t="s">
        <v>730</v>
      </c>
    </row>
    <row r="13" customFormat="false" ht="76.1" hidden="false" customHeight="false" outlineLevel="0" collapsed="false">
      <c r="A13" s="9" t="n">
        <v>5</v>
      </c>
      <c r="B13" s="10" t="s">
        <v>90</v>
      </c>
      <c r="C13" s="14" t="s">
        <v>731</v>
      </c>
      <c r="D13" s="10" t="s">
        <v>83</v>
      </c>
      <c r="E13" s="14" t="s">
        <v>722</v>
      </c>
      <c r="F13" s="10" t="str">
        <f aca="false">IF(COUNTIFS('Test Case Design &amp; Test Results'!$B$10:$B$189,"TC-BVE-N??",'Test Case Design &amp; Test Results'!$G$10:$G$189,"Pass")=9,"ผ่านครบ 9 เคส","")</f>
        <v>ผ่านครบ 9 เคส</v>
      </c>
      <c r="G13" s="9" t="str">
        <f aca="false">IF(COUNTIFS('Test Case Design &amp; Test Results'!$B$10:$B$189,"TC-BVE-N??",'Test Case Design &amp; Test Results'!$G$10:$G$189,"Fail")&gt;0,"Fail",IF(COUNTIFS('Test Case Design &amp; Test Results'!$B$10:$B$189,"TC-BVE-N??",'Test Case Design &amp; Test Results'!$G$10:$G$189,"Pass")=9,"Pass","No run"))</f>
        <v>Pass</v>
      </c>
      <c r="H13" s="9" t="s">
        <v>723</v>
      </c>
    </row>
    <row r="14" customFormat="false" ht="76.1" hidden="false" customHeight="false" outlineLevel="0" collapsed="false">
      <c r="A14" s="9" t="n">
        <v>6</v>
      </c>
      <c r="B14" s="10" t="s">
        <v>91</v>
      </c>
      <c r="C14" s="14" t="s">
        <v>732</v>
      </c>
      <c r="D14" s="10" t="s">
        <v>733</v>
      </c>
      <c r="E14" s="14" t="s">
        <v>722</v>
      </c>
      <c r="F14" s="10" t="str">
        <f aca="false">IF(COUNTIFS('Test Case Design &amp; Test Results'!$B$10:$B$189,"TC-BVE-R??",'Test Case Design &amp; Test Results'!$G$10:$G$189,"Pass")=12,"ผ่านครบ 12 เคส","")</f>
        <v>ผ่านครบ 12 เคส</v>
      </c>
      <c r="G14" s="9" t="str">
        <f aca="false">IF(COUNTIFS('Test Case Design &amp; Test Results'!$B$10:$B$189,"TC-BVE-R??",'Test Case Design &amp; Test Results'!$G$10:$G$189,"Fail")&gt;0,"Fail",IF(COUNTIFS('Test Case Design &amp; Test Results'!$B$10:$B$189,"TC-BVE-R??",'Test Case Design &amp; Test Results'!$G$10:$G$189,"Pass")=12,"Pass","No run"))</f>
        <v>Pass</v>
      </c>
      <c r="H14" s="9" t="s">
        <v>725</v>
      </c>
    </row>
    <row r="16" customFormat="false" ht="23.1" hidden="false" customHeight="true" outlineLevel="0" collapsed="false">
      <c r="A16" s="1" t="s">
        <v>623</v>
      </c>
      <c r="B16" s="40" t="s">
        <v>734</v>
      </c>
      <c r="C16" s="40"/>
      <c r="D16" s="40"/>
      <c r="E16" s="40"/>
    </row>
    <row r="17" customFormat="false" ht="22.05" hidden="false" customHeight="false" outlineLevel="0" collapsed="false">
      <c r="A17" s="1" t="s">
        <v>625</v>
      </c>
      <c r="B17" s="2" t="s">
        <v>40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735</v>
      </c>
      <c r="C1" s="1" t="s">
        <v>569</v>
      </c>
      <c r="D1" s="38" t="s">
        <v>570</v>
      </c>
      <c r="E1" s="38"/>
    </row>
    <row r="2" customFormat="false" ht="66.4" hidden="false" customHeight="false" outlineLevel="0" collapsed="false">
      <c r="A2" s="1" t="s">
        <v>571</v>
      </c>
      <c r="B2" s="37" t="s">
        <v>42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66.4" hidden="false" customHeight="false" outlineLevel="0" collapsed="false">
      <c r="A4" s="1" t="s">
        <v>577</v>
      </c>
      <c r="B4" s="37" t="s">
        <v>718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42" t="s">
        <v>736</v>
      </c>
      <c r="C5" s="42"/>
      <c r="D5" s="42"/>
      <c r="E5" s="42"/>
    </row>
    <row r="6" customFormat="false" ht="72" hidden="false" customHeight="true" outlineLevel="0" collapsed="false">
      <c r="A6" s="1" t="s">
        <v>581</v>
      </c>
      <c r="B6" s="40" t="s">
        <v>737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38.8" hidden="false" customHeight="false" outlineLevel="0" collapsed="false">
      <c r="A9" s="9" t="n">
        <v>1</v>
      </c>
      <c r="B9" s="10" t="s">
        <v>738</v>
      </c>
      <c r="C9" s="10" t="s">
        <v>739</v>
      </c>
      <c r="D9" s="10" t="s">
        <v>544</v>
      </c>
      <c r="E9" s="14" t="s">
        <v>296</v>
      </c>
      <c r="F9" s="10" t="str">
        <f aca="false">IFERROR(INDEX('Test Case Design &amp; Test Results'!$F$10:$F$189,MATCH(H9,'Test Case Design &amp; Test Results'!$B$10:$B$189,0))&amp;"","")</f>
        <v>ไม่มี violation</v>
      </c>
      <c r="G9" s="9" t="str">
        <f aca="false">IFERROR(INDEX('Test Case Design &amp; Test Results'!$G$10:$G$189,MATCH(H9,'Test Case Design &amp; Test Results'!$B$10:$B$189,0)),"")</f>
        <v>Pass</v>
      </c>
      <c r="H9" s="9" t="s">
        <v>291</v>
      </c>
    </row>
    <row r="10" customFormat="false" ht="38.8" hidden="false" customHeight="false" outlineLevel="0" collapsed="false">
      <c r="A10" s="9" t="n">
        <v>2</v>
      </c>
      <c r="B10" s="10" t="s">
        <v>740</v>
      </c>
      <c r="C10" s="10" t="s">
        <v>741</v>
      </c>
      <c r="D10" s="10" t="s">
        <v>270</v>
      </c>
      <c r="E10" s="14" t="s">
        <v>296</v>
      </c>
      <c r="F10" s="10" t="str">
        <f aca="false">IFERROR(INDEX('Test Case Design &amp; Test Results'!$F$10:$F$189,MATCH(H10,'Test Case Design &amp; Test Results'!$B$10:$B$189,0))&amp;"","")</f>
        <v>ไม่มี violation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297</v>
      </c>
    </row>
    <row r="11" customFormat="false" ht="38.8" hidden="false" customHeight="false" outlineLevel="0" collapsed="false">
      <c r="A11" s="9" t="n">
        <v>3</v>
      </c>
      <c r="B11" s="10" t="s">
        <v>742</v>
      </c>
      <c r="C11" s="10" t="s">
        <v>743</v>
      </c>
      <c r="D11" s="10" t="s">
        <v>270</v>
      </c>
      <c r="E11" s="14" t="s">
        <v>296</v>
      </c>
      <c r="F11" s="10" t="str">
        <f aca="false">IFERROR(INDEX('Test Case Design &amp; Test Results'!$F$10:$F$189,MATCH(H11,'Test Case Design &amp; Test Results'!$B$10:$B$189,0))&amp;"","")</f>
        <v>ไม่มี violation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299</v>
      </c>
    </row>
    <row r="12" customFormat="false" ht="38.8" hidden="false" customHeight="false" outlineLevel="0" collapsed="false">
      <c r="A12" s="9" t="n">
        <v>4</v>
      </c>
      <c r="B12" s="10" t="s">
        <v>744</v>
      </c>
      <c r="C12" s="10" t="s">
        <v>745</v>
      </c>
      <c r="D12" s="10" t="s">
        <v>274</v>
      </c>
      <c r="E12" s="14" t="s">
        <v>296</v>
      </c>
      <c r="F12" s="10" t="str">
        <f aca="false">IFERROR(INDEX('Test Case Design &amp; Test Results'!$F$10:$F$189,MATCH(H12,'Test Case Design &amp; Test Results'!$B$10:$B$189,0))&amp;"","")</f>
        <v>ไม่มี violation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301</v>
      </c>
    </row>
    <row r="13" customFormat="false" ht="57.45" hidden="false" customHeight="false" outlineLevel="0" collapsed="false">
      <c r="A13" s="9" t="n">
        <v>5</v>
      </c>
      <c r="B13" s="10" t="s">
        <v>746</v>
      </c>
      <c r="C13" s="10" t="s">
        <v>747</v>
      </c>
      <c r="D13" s="10" t="s">
        <v>278</v>
      </c>
      <c r="E13" s="14" t="s">
        <v>296</v>
      </c>
      <c r="F13" s="10" t="str">
        <f aca="false">IFERROR(INDEX('Test Case Design &amp; Test Results'!$F$10:$F$189,MATCH(H13,'Test Case Design &amp; Test Results'!$B$10:$B$189,0))&amp;"","")</f>
        <v>ไม่มี violation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303</v>
      </c>
    </row>
    <row r="14" customFormat="false" ht="57.45" hidden="false" customHeight="false" outlineLevel="0" collapsed="false">
      <c r="A14" s="9" t="n">
        <v>6</v>
      </c>
      <c r="B14" s="10" t="s">
        <v>748</v>
      </c>
      <c r="C14" s="10" t="s">
        <v>749</v>
      </c>
      <c r="D14" s="10" t="s">
        <v>264</v>
      </c>
      <c r="E14" s="10" t="s">
        <v>307</v>
      </c>
      <c r="F14" s="10" t="str">
        <f aca="false">IFERROR(INDEX('Test Case Design &amp; Test Results'!$F$10:$F$189,MATCH(H14,'Test Case Design &amp; Test Results'!$B$10:$B$189,0))&amp;"","")</f>
        <v>violation 1 รายการ ที่ field name</v>
      </c>
      <c r="G14" s="9" t="str">
        <f aca="false">IFERROR(INDEX('Test Case Design &amp; Test Results'!$G$10:$G$189,MATCH(H14,'Test Case Design &amp; Test Results'!$B$10:$B$189,0)),"")</f>
        <v>Pass</v>
      </c>
      <c r="H14" s="9" t="s">
        <v>305</v>
      </c>
    </row>
    <row r="15" customFormat="false" ht="57.45" hidden="false" customHeight="false" outlineLevel="0" collapsed="false">
      <c r="A15" s="9" t="n">
        <v>7</v>
      </c>
      <c r="B15" s="10" t="s">
        <v>750</v>
      </c>
      <c r="C15" s="10" t="s">
        <v>751</v>
      </c>
      <c r="D15" s="10" t="s">
        <v>264</v>
      </c>
      <c r="E15" s="10" t="s">
        <v>307</v>
      </c>
      <c r="F15" s="10" t="str">
        <f aca="false">IFERROR(INDEX('Test Case Design &amp; Test Results'!$F$10:$F$189,MATCH(H15,'Test Case Design &amp; Test Results'!$B$10:$B$189,0))&amp;"","")</f>
        <v>violation 1 รายการ ที่ field name</v>
      </c>
      <c r="G15" s="9" t="str">
        <f aca="false">IFERROR(INDEX('Test Case Design &amp; Test Results'!$G$10:$G$189,MATCH(H15,'Test Case Design &amp; Test Results'!$B$10:$B$189,0)),"")</f>
        <v>Pass</v>
      </c>
      <c r="H15" s="9" t="s">
        <v>308</v>
      </c>
    </row>
    <row r="16" customFormat="false" ht="57.45" hidden="false" customHeight="false" outlineLevel="0" collapsed="false">
      <c r="A16" s="9" t="n">
        <v>8</v>
      </c>
      <c r="B16" s="10" t="s">
        <v>752</v>
      </c>
      <c r="C16" s="10" t="s">
        <v>753</v>
      </c>
      <c r="D16" s="10" t="s">
        <v>264</v>
      </c>
      <c r="E16" s="10" t="s">
        <v>307</v>
      </c>
      <c r="F16" s="10" t="str">
        <f aca="false">IFERROR(INDEX('Test Case Design &amp; Test Results'!$F$10:$F$189,MATCH(H16,'Test Case Design &amp; Test Results'!$B$10:$B$189,0))&amp;"","")</f>
        <v>violation 1 รายการ ที่ field name</v>
      </c>
      <c r="G16" s="9" t="str">
        <f aca="false">IFERROR(INDEX('Test Case Design &amp; Test Results'!$G$10:$G$189,MATCH(H16,'Test Case Design &amp; Test Results'!$B$10:$B$189,0)),"")</f>
        <v>Pass</v>
      </c>
      <c r="H16" s="9" t="s">
        <v>310</v>
      </c>
    </row>
    <row r="17" customFormat="false" ht="57.45" hidden="false" customHeight="false" outlineLevel="0" collapsed="false">
      <c r="A17" s="9" t="n">
        <v>9</v>
      </c>
      <c r="B17" s="10" t="s">
        <v>754</v>
      </c>
      <c r="C17" s="10" t="s">
        <v>755</v>
      </c>
      <c r="D17" s="10" t="s">
        <v>268</v>
      </c>
      <c r="E17" s="10" t="s">
        <v>307</v>
      </c>
      <c r="F17" s="10" t="str">
        <f aca="false">IFERROR(INDEX('Test Case Design &amp; Test Results'!$F$10:$F$189,MATCH(H17,'Test Case Design &amp; Test Results'!$B$10:$B$189,0))&amp;"","")</f>
        <v>violation 1 รายการ ที่ field name</v>
      </c>
      <c r="G17" s="9" t="str">
        <f aca="false">IFERROR(INDEX('Test Case Design &amp; Test Results'!$G$10:$G$189,MATCH(H17,'Test Case Design &amp; Test Results'!$B$10:$B$189,0)),"")</f>
        <v>Pass</v>
      </c>
      <c r="H17" s="9" t="s">
        <v>311</v>
      </c>
    </row>
    <row r="18" customFormat="false" ht="57.45" hidden="false" customHeight="false" outlineLevel="0" collapsed="false">
      <c r="A18" s="9" t="n">
        <v>10</v>
      </c>
      <c r="B18" s="10" t="s">
        <v>756</v>
      </c>
      <c r="C18" s="10" t="s">
        <v>757</v>
      </c>
      <c r="D18" s="10" t="s">
        <v>272</v>
      </c>
      <c r="E18" s="10" t="s">
        <v>314</v>
      </c>
      <c r="F18" s="10" t="str">
        <f aca="false">IFERROR(INDEX('Test Case Design &amp; Test Results'!$F$10:$F$189,MATCH(H18,'Test Case Design &amp; Test Results'!$B$10:$B$189,0))&amp;"","")</f>
        <v>violation 1 รายการ ที่ field capacity</v>
      </c>
      <c r="G18" s="9" t="str">
        <f aca="false">IFERROR(INDEX('Test Case Design &amp; Test Results'!$G$10:$G$189,MATCH(H18,'Test Case Design &amp; Test Results'!$B$10:$B$189,0)),"")</f>
        <v>Pass</v>
      </c>
      <c r="H18" s="9" t="s">
        <v>313</v>
      </c>
    </row>
    <row r="19" customFormat="false" ht="57.45" hidden="false" customHeight="false" outlineLevel="0" collapsed="false">
      <c r="A19" s="9" t="n">
        <v>11</v>
      </c>
      <c r="B19" s="10" t="s">
        <v>758</v>
      </c>
      <c r="C19" s="10" t="s">
        <v>759</v>
      </c>
      <c r="D19" s="10" t="s">
        <v>272</v>
      </c>
      <c r="E19" s="10" t="s">
        <v>314</v>
      </c>
      <c r="F19" s="10" t="str">
        <f aca="false">IFERROR(INDEX('Test Case Design &amp; Test Results'!$F$10:$F$189,MATCH(H19,'Test Case Design &amp; Test Results'!$B$10:$B$189,0))&amp;"","")</f>
        <v>violation 1 รายการ ที่ field capacity</v>
      </c>
      <c r="G19" s="9" t="str">
        <f aca="false">IFERROR(INDEX('Test Case Design &amp; Test Results'!$G$10:$G$189,MATCH(H19,'Test Case Design &amp; Test Results'!$B$10:$B$189,0)),"")</f>
        <v>Pass</v>
      </c>
      <c r="H19" s="9" t="s">
        <v>315</v>
      </c>
    </row>
    <row r="20" customFormat="false" ht="57.45" hidden="false" customHeight="false" outlineLevel="0" collapsed="false">
      <c r="A20" s="9" t="n">
        <v>12</v>
      </c>
      <c r="B20" s="10" t="s">
        <v>760</v>
      </c>
      <c r="C20" s="10" t="s">
        <v>761</v>
      </c>
      <c r="D20" s="10" t="s">
        <v>276</v>
      </c>
      <c r="E20" s="10" t="s">
        <v>314</v>
      </c>
      <c r="F20" s="10" t="str">
        <f aca="false">IFERROR(INDEX('Test Case Design &amp; Test Results'!$F$10:$F$189,MATCH(H20,'Test Case Design &amp; Test Results'!$B$10:$B$189,0))&amp;"","")</f>
        <v>violation 1 รายการ ที่ field capacity</v>
      </c>
      <c r="G20" s="9" t="str">
        <f aca="false">IFERROR(INDEX('Test Case Design &amp; Test Results'!$G$10:$G$189,MATCH(H20,'Test Case Design &amp; Test Results'!$B$10:$B$189,0)),"")</f>
        <v>Pass</v>
      </c>
      <c r="H20" s="9" t="s">
        <v>316</v>
      </c>
    </row>
    <row r="21" customFormat="false" ht="57.45" hidden="false" customHeight="false" outlineLevel="0" collapsed="false">
      <c r="A21" s="9" t="n">
        <v>13</v>
      </c>
      <c r="B21" s="10" t="s">
        <v>762</v>
      </c>
      <c r="C21" s="10" t="s">
        <v>763</v>
      </c>
      <c r="D21" s="10" t="s">
        <v>280</v>
      </c>
      <c r="E21" s="10" t="s">
        <v>319</v>
      </c>
      <c r="F21" s="10" t="str">
        <f aca="false">IFERROR(INDEX('Test Case Design &amp; Test Results'!$F$10:$F$189,MATCH(H21,'Test Case Design &amp; Test Results'!$B$10:$B$189,0))&amp;"","")</f>
        <v>violation 1 รายการ ที่ field floor</v>
      </c>
      <c r="G21" s="9" t="str">
        <f aca="false">IFERROR(INDEX('Test Case Design &amp; Test Results'!$G$10:$G$189,MATCH(H21,'Test Case Design &amp; Test Results'!$B$10:$B$189,0)),"")</f>
        <v>Pass</v>
      </c>
      <c r="H21" s="9" t="s">
        <v>317</v>
      </c>
    </row>
    <row r="22" customFormat="false" ht="57.45" hidden="false" customHeight="false" outlineLevel="0" collapsed="false">
      <c r="A22" s="9" t="n">
        <v>14</v>
      </c>
      <c r="B22" s="10" t="s">
        <v>764</v>
      </c>
      <c r="C22" s="10" t="s">
        <v>765</v>
      </c>
      <c r="D22" s="10" t="s">
        <v>282</v>
      </c>
      <c r="E22" s="10" t="s">
        <v>321</v>
      </c>
      <c r="F22" s="10" t="str">
        <f aca="false">IFERROR(INDEX('Test Case Design &amp; Test Results'!$F$10:$F$189,MATCH(H22,'Test Case Design &amp; Test Results'!$B$10:$B$189,0))&amp;"","")</f>
        <v>violation 1 รายการ ที่ field roomType</v>
      </c>
      <c r="G22" s="9" t="str">
        <f aca="false">IFERROR(INDEX('Test Case Design &amp; Test Results'!$G$10:$G$189,MATCH(H22,'Test Case Design &amp; Test Results'!$B$10:$B$189,0)),"")</f>
        <v>Pass</v>
      </c>
      <c r="H22" s="9" t="s">
        <v>320</v>
      </c>
    </row>
    <row r="23" customFormat="false" ht="57.45" hidden="false" customHeight="false" outlineLevel="0" collapsed="false">
      <c r="A23" s="9" t="n">
        <v>15</v>
      </c>
      <c r="B23" s="10" t="s">
        <v>766</v>
      </c>
      <c r="C23" s="10" t="s">
        <v>767</v>
      </c>
      <c r="D23" s="10" t="s">
        <v>284</v>
      </c>
      <c r="E23" s="10" t="s">
        <v>323</v>
      </c>
      <c r="F23" s="10" t="str">
        <f aca="false">IFERROR(INDEX('Test Case Design &amp; Test Results'!$F$10:$F$189,MATCH(H23,'Test Case Design &amp; Test Results'!$B$10:$B$189,0))&amp;"","")</f>
        <v>violation 1 รายการ ที่ field status</v>
      </c>
      <c r="G23" s="9" t="str">
        <f aca="false">IFERROR(INDEX('Test Case Design &amp; Test Results'!$G$10:$G$189,MATCH(H23,'Test Case Design &amp; Test Results'!$B$10:$B$189,0)),"")</f>
        <v>Pass</v>
      </c>
      <c r="H23" s="9" t="s">
        <v>322</v>
      </c>
    </row>
    <row r="24" customFormat="false" ht="57.45" hidden="false" customHeight="false" outlineLevel="0" collapsed="false">
      <c r="A24" s="9" t="n">
        <v>16</v>
      </c>
      <c r="B24" s="10" t="s">
        <v>768</v>
      </c>
      <c r="C24" s="10" t="s">
        <v>769</v>
      </c>
      <c r="D24" s="10" t="s">
        <v>770</v>
      </c>
      <c r="E24" s="14" t="s">
        <v>296</v>
      </c>
      <c r="F24" s="10" t="str">
        <f aca="false">IFERROR(INDEX('Test Case Design &amp; Test Results'!$F$10:$F$189,MATCH(H24,'Test Case Design &amp; Test Results'!$B$10:$B$189,0))&amp;"","")</f>
        <v>ไม่มี violation</v>
      </c>
      <c r="G24" s="9" t="str">
        <f aca="false">IFERROR(INDEX('Test Case Design &amp; Test Results'!$G$10:$G$189,MATCH(H24,'Test Case Design &amp; Test Results'!$B$10:$B$189,0)),"")</f>
        <v>Pass</v>
      </c>
      <c r="H24" s="9" t="s">
        <v>339</v>
      </c>
    </row>
    <row r="25" customFormat="false" ht="57.45" hidden="false" customHeight="false" outlineLevel="0" collapsed="false">
      <c r="A25" s="9" t="n">
        <v>17</v>
      </c>
      <c r="B25" s="10" t="s">
        <v>771</v>
      </c>
      <c r="C25" s="10" t="s">
        <v>772</v>
      </c>
      <c r="D25" s="10" t="s">
        <v>327</v>
      </c>
      <c r="E25" s="14" t="s">
        <v>296</v>
      </c>
      <c r="F25" s="10" t="str">
        <f aca="false">IFERROR(INDEX('Test Case Design &amp; Test Results'!$F$10:$F$189,MATCH(H25,'Test Case Design &amp; Test Results'!$B$10:$B$189,0))&amp;"","")</f>
        <v>ไม่มี violation</v>
      </c>
      <c r="G25" s="9" t="str">
        <f aca="false">IFERROR(INDEX('Test Case Design &amp; Test Results'!$G$10:$G$189,MATCH(H25,'Test Case Design &amp; Test Results'!$B$10:$B$189,0)),"")</f>
        <v>Pass</v>
      </c>
      <c r="H25" s="9" t="s">
        <v>342</v>
      </c>
    </row>
    <row r="26" customFormat="false" ht="57.45" hidden="false" customHeight="false" outlineLevel="0" collapsed="false">
      <c r="A26" s="9" t="n">
        <v>18</v>
      </c>
      <c r="B26" s="10" t="s">
        <v>773</v>
      </c>
      <c r="C26" s="10" t="s">
        <v>774</v>
      </c>
      <c r="D26" s="10" t="s">
        <v>330</v>
      </c>
      <c r="E26" s="14" t="s">
        <v>296</v>
      </c>
      <c r="F26" s="10" t="str">
        <f aca="false">IFERROR(INDEX('Test Case Design &amp; Test Results'!$F$10:$F$189,MATCH(H26,'Test Case Design &amp; Test Results'!$B$10:$B$189,0))&amp;"","")</f>
        <v>ไม่มี violation</v>
      </c>
      <c r="G26" s="9" t="str">
        <f aca="false">IFERROR(INDEX('Test Case Design &amp; Test Results'!$G$10:$G$189,MATCH(H26,'Test Case Design &amp; Test Results'!$B$10:$B$189,0)),"")</f>
        <v>Pass</v>
      </c>
      <c r="H26" s="9" t="s">
        <v>343</v>
      </c>
    </row>
    <row r="27" customFormat="false" ht="57.45" hidden="false" customHeight="false" outlineLevel="0" collapsed="false">
      <c r="A27" s="9" t="n">
        <v>19</v>
      </c>
      <c r="B27" s="10" t="s">
        <v>775</v>
      </c>
      <c r="C27" s="10" t="s">
        <v>776</v>
      </c>
      <c r="D27" s="10" t="s">
        <v>330</v>
      </c>
      <c r="E27" s="14" t="s">
        <v>296</v>
      </c>
      <c r="F27" s="10" t="str">
        <f aca="false">IFERROR(INDEX('Test Case Design &amp; Test Results'!$F$10:$F$189,MATCH(H27,'Test Case Design &amp; Test Results'!$B$10:$B$189,0))&amp;"","")</f>
        <v>ไม่มี violation</v>
      </c>
      <c r="G27" s="9" t="str">
        <f aca="false">IFERROR(INDEX('Test Case Design &amp; Test Results'!$G$10:$G$189,MATCH(H27,'Test Case Design &amp; Test Results'!$B$10:$B$189,0)),"")</f>
        <v>Pass</v>
      </c>
      <c r="H27" s="9" t="s">
        <v>344</v>
      </c>
    </row>
    <row r="28" customFormat="false" ht="76.1" hidden="false" customHeight="false" outlineLevel="0" collapsed="false">
      <c r="A28" s="9" t="n">
        <v>20</v>
      </c>
      <c r="B28" s="10" t="s">
        <v>777</v>
      </c>
      <c r="C28" s="10" t="s">
        <v>778</v>
      </c>
      <c r="D28" s="10" t="s">
        <v>325</v>
      </c>
      <c r="E28" s="10" t="s">
        <v>307</v>
      </c>
      <c r="F28" s="10" t="str">
        <f aca="false">IFERROR(INDEX('Test Case Design &amp; Test Results'!$F$10:$F$189,MATCH(H28,'Test Case Design &amp; Test Results'!$B$10:$B$189,0))&amp;"","")</f>
        <v>violation 1 รายการ ที่ field name</v>
      </c>
      <c r="G28" s="9" t="str">
        <f aca="false">IFERROR(INDEX('Test Case Design &amp; Test Results'!$G$10:$G$189,MATCH(H28,'Test Case Design &amp; Test Results'!$B$10:$B$189,0)),"")</f>
        <v>Pass</v>
      </c>
      <c r="H28" s="9" t="s">
        <v>346</v>
      </c>
    </row>
    <row r="29" customFormat="false" ht="76.1" hidden="false" customHeight="false" outlineLevel="0" collapsed="false">
      <c r="A29" s="9" t="n">
        <v>21</v>
      </c>
      <c r="B29" s="10" t="s">
        <v>779</v>
      </c>
      <c r="C29" s="10" t="s">
        <v>780</v>
      </c>
      <c r="D29" s="10" t="s">
        <v>325</v>
      </c>
      <c r="E29" s="10" t="s">
        <v>307</v>
      </c>
      <c r="F29" s="10" t="str">
        <f aca="false">IFERROR(INDEX('Test Case Design &amp; Test Results'!$F$10:$F$189,MATCH(H29,'Test Case Design &amp; Test Results'!$B$10:$B$189,0))&amp;"","")</f>
        <v>violation 1 รายการ ที่ field name</v>
      </c>
      <c r="G29" s="9" t="str">
        <f aca="false">IFERROR(INDEX('Test Case Design &amp; Test Results'!$G$10:$G$189,MATCH(H29,'Test Case Design &amp; Test Results'!$B$10:$B$189,0)),"")</f>
        <v>Pass</v>
      </c>
      <c r="H29" s="9" t="s">
        <v>347</v>
      </c>
    </row>
    <row r="30" customFormat="false" ht="76.1" hidden="false" customHeight="false" outlineLevel="0" collapsed="false">
      <c r="A30" s="9" t="n">
        <v>22</v>
      </c>
      <c r="B30" s="10" t="s">
        <v>781</v>
      </c>
      <c r="C30" s="10" t="s">
        <v>782</v>
      </c>
      <c r="D30" s="10" t="s">
        <v>329</v>
      </c>
      <c r="E30" s="10" t="s">
        <v>307</v>
      </c>
      <c r="F30" s="10" t="str">
        <f aca="false">IFERROR(INDEX('Test Case Design &amp; Test Results'!$F$10:$F$189,MATCH(H30,'Test Case Design &amp; Test Results'!$B$10:$B$189,0))&amp;"","")</f>
        <v>violation 1 รายการ ที่ field name</v>
      </c>
      <c r="G30" s="9" t="str">
        <f aca="false">IFERROR(INDEX('Test Case Design &amp; Test Results'!$G$10:$G$189,MATCH(H30,'Test Case Design &amp; Test Results'!$B$10:$B$189,0)),"")</f>
        <v>Pass</v>
      </c>
      <c r="H30" s="9" t="s">
        <v>348</v>
      </c>
    </row>
    <row r="31" customFormat="false" ht="76.1" hidden="false" customHeight="false" outlineLevel="0" collapsed="false">
      <c r="A31" s="9" t="n">
        <v>23</v>
      </c>
      <c r="B31" s="10" t="s">
        <v>783</v>
      </c>
      <c r="C31" s="10" t="s">
        <v>784</v>
      </c>
      <c r="D31" s="10" t="s">
        <v>332</v>
      </c>
      <c r="E31" s="10" t="s">
        <v>351</v>
      </c>
      <c r="F31" s="10" t="str">
        <f aca="false">IFERROR(INDEX('Test Case Design &amp; Test Results'!$F$10:$F$189,MATCH(H31,'Test Case Design &amp; Test Results'!$B$10:$B$189,0))&amp;"","")</f>
        <v>violation 1 รายการ ที่ field totalQuantity</v>
      </c>
      <c r="G31" s="9" t="str">
        <f aca="false">IFERROR(INDEX('Test Case Design &amp; Test Results'!$G$10:$G$189,MATCH(H31,'Test Case Design &amp; Test Results'!$B$10:$B$189,0)),"")</f>
        <v>Pass</v>
      </c>
      <c r="H31" s="9" t="s">
        <v>350</v>
      </c>
    </row>
    <row r="32" customFormat="false" ht="76.1" hidden="false" customHeight="false" outlineLevel="0" collapsed="false">
      <c r="A32" s="9" t="n">
        <v>24</v>
      </c>
      <c r="B32" s="10" t="s">
        <v>785</v>
      </c>
      <c r="C32" s="10" t="s">
        <v>786</v>
      </c>
      <c r="D32" s="10" t="s">
        <v>334</v>
      </c>
      <c r="E32" s="10" t="s">
        <v>351</v>
      </c>
      <c r="F32" s="10" t="str">
        <f aca="false">IFERROR(INDEX('Test Case Design &amp; Test Results'!$F$10:$F$189,MATCH(H32,'Test Case Design &amp; Test Results'!$B$10:$B$189,0))&amp;"","")</f>
        <v>violation 1 รายการ ที่ field totalQuantity</v>
      </c>
      <c r="G32" s="9" t="str">
        <f aca="false">IFERROR(INDEX('Test Case Design &amp; Test Results'!$G$10:$G$189,MATCH(H32,'Test Case Design &amp; Test Results'!$B$10:$B$189,0)),"")</f>
        <v>Pass</v>
      </c>
      <c r="H32" s="9" t="s">
        <v>352</v>
      </c>
    </row>
    <row r="33" customFormat="false" ht="76.1" hidden="false" customHeight="false" outlineLevel="0" collapsed="false">
      <c r="A33" s="9" t="n">
        <v>25</v>
      </c>
      <c r="B33" s="10" t="s">
        <v>787</v>
      </c>
      <c r="C33" s="10" t="s">
        <v>788</v>
      </c>
      <c r="D33" s="10" t="s">
        <v>336</v>
      </c>
      <c r="E33" s="10" t="s">
        <v>355</v>
      </c>
      <c r="F33" s="10" t="str">
        <f aca="false">IFERROR(INDEX('Test Case Design &amp; Test Results'!$F$10:$F$189,MATCH(H33,'Test Case Design &amp; Test Results'!$B$10:$B$189,0))&amp;"","")</f>
        <v>violation 1 รายการ ที่ field category</v>
      </c>
      <c r="G33" s="9" t="str">
        <f aca="false">IFERROR(INDEX('Test Case Design &amp; Test Results'!$G$10:$G$189,MATCH(H33,'Test Case Design &amp; Test Results'!$B$10:$B$189,0)),"")</f>
        <v>Pass</v>
      </c>
      <c r="H33" s="9" t="s">
        <v>353</v>
      </c>
    </row>
    <row r="35" customFormat="false" ht="23.1" hidden="false" customHeight="true" outlineLevel="0" collapsed="false">
      <c r="A35" s="1" t="s">
        <v>623</v>
      </c>
      <c r="B35" s="24" t="s">
        <v>40</v>
      </c>
      <c r="C35" s="24"/>
      <c r="D35" s="24"/>
      <c r="E35" s="24"/>
    </row>
    <row r="36" customFormat="false" ht="22.05" hidden="false" customHeight="false" outlineLevel="0" collapsed="false">
      <c r="A36" s="1" t="s">
        <v>625</v>
      </c>
      <c r="B36" s="2" t="s">
        <v>43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9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44.75" hidden="false" customHeight="false" outlineLevel="0" collapsed="false">
      <c r="A1" s="1" t="s">
        <v>567</v>
      </c>
      <c r="B1" s="37" t="s">
        <v>789</v>
      </c>
      <c r="C1" s="1" t="s">
        <v>569</v>
      </c>
      <c r="D1" s="38" t="s">
        <v>570</v>
      </c>
      <c r="E1" s="38"/>
    </row>
    <row r="2" customFormat="false" ht="44.75" hidden="false" customHeight="false" outlineLevel="0" collapsed="false">
      <c r="A2" s="1" t="s">
        <v>571</v>
      </c>
      <c r="B2" s="37" t="s">
        <v>790</v>
      </c>
      <c r="C2" s="1" t="s">
        <v>572</v>
      </c>
      <c r="D2" s="38" t="s">
        <v>573</v>
      </c>
      <c r="E2" s="38"/>
    </row>
    <row r="3" customFormat="false" ht="23.1" hidden="false" customHeight="false" outlineLevel="0" collapsed="false">
      <c r="A3" s="1" t="s">
        <v>574</v>
      </c>
      <c r="B3" s="39" t="s">
        <v>575</v>
      </c>
      <c r="C3" s="1" t="s">
        <v>576</v>
      </c>
      <c r="D3" s="38" t="s">
        <v>573</v>
      </c>
      <c r="E3" s="38"/>
    </row>
    <row r="4" customFormat="false" ht="109.7" hidden="false" customHeight="false" outlineLevel="0" collapsed="false">
      <c r="A4" s="1" t="s">
        <v>577</v>
      </c>
      <c r="B4" s="37" t="s">
        <v>791</v>
      </c>
      <c r="C4" s="1" t="s">
        <v>109</v>
      </c>
      <c r="D4" s="38" t="s">
        <v>110</v>
      </c>
      <c r="E4" s="38"/>
    </row>
    <row r="5" customFormat="false" ht="23.1" hidden="false" customHeight="false" outlineLevel="0" collapsed="false">
      <c r="A5" s="1" t="s">
        <v>579</v>
      </c>
      <c r="B5" s="38" t="s">
        <v>792</v>
      </c>
      <c r="C5" s="38"/>
      <c r="D5" s="38"/>
      <c r="E5" s="38"/>
    </row>
    <row r="6" customFormat="false" ht="72" hidden="false" customHeight="true" outlineLevel="0" collapsed="false">
      <c r="A6" s="1" t="s">
        <v>581</v>
      </c>
      <c r="B6" s="40" t="s">
        <v>793</v>
      </c>
      <c r="C6" s="40"/>
      <c r="D6" s="40"/>
      <c r="E6" s="40"/>
    </row>
    <row r="7" customFormat="false" ht="22.05" hidden="false" customHeight="false" outlineLevel="0" collapsed="false">
      <c r="A7" s="41" t="s">
        <v>583</v>
      </c>
      <c r="B7" s="41"/>
      <c r="C7" s="41"/>
      <c r="D7" s="41"/>
      <c r="E7" s="41"/>
    </row>
    <row r="8" customFormat="false" ht="88.05" hidden="false" customHeight="false" outlineLevel="0" collapsed="false">
      <c r="A8" s="19" t="s">
        <v>584</v>
      </c>
      <c r="B8" s="19" t="s">
        <v>585</v>
      </c>
      <c r="C8" s="19" t="s">
        <v>114</v>
      </c>
      <c r="D8" s="19" t="s">
        <v>261</v>
      </c>
      <c r="E8" s="19" t="s">
        <v>586</v>
      </c>
      <c r="F8" s="15" t="s">
        <v>587</v>
      </c>
      <c r="G8" s="15" t="s">
        <v>588</v>
      </c>
      <c r="H8" s="15" t="s">
        <v>589</v>
      </c>
    </row>
    <row r="9" customFormat="false" ht="57.45" hidden="false" customHeight="false" outlineLevel="0" collapsed="false">
      <c r="A9" s="9" t="n">
        <v>1</v>
      </c>
      <c r="B9" s="10" t="s">
        <v>794</v>
      </c>
      <c r="C9" s="10" t="s">
        <v>795</v>
      </c>
      <c r="D9" s="14" t="s">
        <v>414</v>
      </c>
      <c r="E9" s="10" t="s">
        <v>428</v>
      </c>
      <c r="F9" s="10" t="str">
        <f aca="false">IFERROR(INDEX('Test Case Design &amp; Test Results'!$F$10:$F$189,MATCH(H9,'Test Case Design &amp; Test Results'!$B$10:$B$189,0))&amp;"","")</f>
        <v>409 + message มี "(id: x)" และห้องยังอยู่ใน DB</v>
      </c>
      <c r="G9" s="9" t="str">
        <f aca="false">IFERROR(INDEX('Test Case Design &amp; Test Results'!$G$10:$G$189,MATCH(H9,'Test Case Design &amp; Test Results'!$B$10:$B$189,0)),"")</f>
        <v>Pass</v>
      </c>
      <c r="H9" s="9" t="s">
        <v>425</v>
      </c>
    </row>
    <row r="10" customFormat="false" ht="76.1" hidden="false" customHeight="false" outlineLevel="0" collapsed="false">
      <c r="A10" s="9" t="n">
        <v>2</v>
      </c>
      <c r="B10" s="10" t="s">
        <v>796</v>
      </c>
      <c r="C10" s="10" t="s">
        <v>797</v>
      </c>
      <c r="D10" s="14" t="s">
        <v>450</v>
      </c>
      <c r="E10" s="10" t="s">
        <v>451</v>
      </c>
      <c r="F10" s="10" t="str">
        <f aca="false">IFERROR(INDEX('Test Case Design &amp; Test Results'!$F$10:$F$189,MATCH(H10,'Test Case Design &amp; Test Results'!$B$10:$B$189,0))&amp;"","")</f>
        <v>204 และห้องหายจาก DB</v>
      </c>
      <c r="G10" s="9" t="str">
        <f aca="false">IFERROR(INDEX('Test Case Design &amp; Test Results'!$G$10:$G$189,MATCH(H10,'Test Case Design &amp; Test Results'!$B$10:$B$189,0)),"")</f>
        <v>Pass</v>
      </c>
      <c r="H10" s="9" t="s">
        <v>448</v>
      </c>
    </row>
    <row r="11" customFormat="false" ht="76.1" hidden="false" customHeight="false" outlineLevel="0" collapsed="false">
      <c r="A11" s="9" t="n">
        <v>3</v>
      </c>
      <c r="B11" s="10" t="s">
        <v>798</v>
      </c>
      <c r="C11" s="10" t="s">
        <v>799</v>
      </c>
      <c r="D11" s="14" t="s">
        <v>418</v>
      </c>
      <c r="E11" s="10" t="s">
        <v>432</v>
      </c>
      <c r="F11" s="10" t="str">
        <f aca="false">IFERROR(INDEX('Test Case Design &amp; Test Results'!$F$10:$F$189,MATCH(H11,'Test Case Design &amp; Test Results'!$B$10:$B$189,0))&amp;"","")</f>
        <v>409 + message มี "(id: x)" และอุปกรณ์ยังอยู่</v>
      </c>
      <c r="G11" s="9" t="str">
        <f aca="false">IFERROR(INDEX('Test Case Design &amp; Test Results'!$G$10:$G$189,MATCH(H11,'Test Case Design &amp; Test Results'!$B$10:$B$189,0)),"")</f>
        <v>Pass</v>
      </c>
      <c r="H11" s="9" t="s">
        <v>429</v>
      </c>
    </row>
    <row r="12" customFormat="false" ht="76.1" hidden="false" customHeight="false" outlineLevel="0" collapsed="false">
      <c r="A12" s="9" t="n">
        <v>4</v>
      </c>
      <c r="B12" s="10" t="s">
        <v>800</v>
      </c>
      <c r="C12" s="10" t="s">
        <v>801</v>
      </c>
      <c r="D12" s="14" t="s">
        <v>454</v>
      </c>
      <c r="E12" s="10" t="s">
        <v>455</v>
      </c>
      <c r="F12" s="10" t="str">
        <f aca="false">IFERROR(INDEX('Test Case Design &amp; Test Results'!$F$10:$F$189,MATCH(H12,'Test Case Design &amp; Test Results'!$B$10:$B$189,0))&amp;"","")</f>
        <v>204 และอุปกรณ์หายจาก DB</v>
      </c>
      <c r="G12" s="9" t="str">
        <f aca="false">IFERROR(INDEX('Test Case Design &amp; Test Results'!$G$10:$G$189,MATCH(H12,'Test Case Design &amp; Test Results'!$B$10:$B$189,0)),"")</f>
        <v>Pass</v>
      </c>
      <c r="H12" s="9" t="s">
        <v>452</v>
      </c>
    </row>
    <row r="13" customFormat="false" ht="57.45" hidden="false" customHeight="false" outlineLevel="0" collapsed="false">
      <c r="A13" s="9" t="n">
        <v>5</v>
      </c>
      <c r="B13" s="10" t="s">
        <v>802</v>
      </c>
      <c r="C13" s="10" t="s">
        <v>803</v>
      </c>
      <c r="D13" s="10" t="s">
        <v>804</v>
      </c>
      <c r="E13" s="10" t="s">
        <v>693</v>
      </c>
      <c r="F13" s="10" t="str">
        <f aca="false">IFERROR(INDEX('Test Case Design &amp; Test Results'!$F$10:$F$189,MATCH(H13,'Test Case Design &amp; Test Results'!$B$10:$B$189,0))&amp;"","")</f>
        <v>404 Not Found</v>
      </c>
      <c r="G13" s="9" t="str">
        <f aca="false">IFERROR(INDEX('Test Case Design &amp; Test Results'!$G$10:$G$189,MATCH(H13,'Test Case Design &amp; Test Results'!$B$10:$B$189,0)),"")</f>
        <v>Pass</v>
      </c>
      <c r="H13" s="9" t="s">
        <v>805</v>
      </c>
    </row>
    <row r="14" customFormat="false" ht="57.45" hidden="false" customHeight="false" outlineLevel="0" collapsed="false">
      <c r="A14" s="9" t="n">
        <v>6</v>
      </c>
      <c r="B14" s="10" t="s">
        <v>806</v>
      </c>
      <c r="C14" s="10" t="s">
        <v>807</v>
      </c>
      <c r="D14" s="10" t="s">
        <v>514</v>
      </c>
      <c r="E14" s="10" t="s">
        <v>521</v>
      </c>
      <c r="F14" s="10" t="str">
        <f aca="false">IFERROR(INDEX('Test Case Design &amp; Test Results'!$F$10:$F$189,MATCH(H14,'Test Case Design &amp; Test Results'!$B$10:$B$189,0))&amp;"","")</f>
        <v>201 และบันทึกลง DB จริง</v>
      </c>
      <c r="G14" s="9" t="str">
        <f aca="false">IFERROR(INDEX('Test Case Design &amp; Test Results'!$G$10:$G$189,MATCH(H14,'Test Case Design &amp; Test Results'!$B$10:$B$189,0)),"")</f>
        <v>Pass</v>
      </c>
      <c r="H14" s="9" t="s">
        <v>519</v>
      </c>
    </row>
    <row r="16" customFormat="false" ht="23.1" hidden="false" customHeight="true" outlineLevel="0" collapsed="false">
      <c r="A16" s="1" t="s">
        <v>623</v>
      </c>
      <c r="B16" s="40" t="s">
        <v>808</v>
      </c>
      <c r="C16" s="40"/>
      <c r="D16" s="40"/>
      <c r="E16" s="40"/>
    </row>
    <row r="17" customFormat="false" ht="22.05" hidden="false" customHeight="false" outlineLevel="0" collapsed="false">
      <c r="A17" s="1" t="s">
        <v>625</v>
      </c>
      <c r="B17" s="2" t="s">
        <v>18</v>
      </c>
    </row>
  </sheetData>
  <mergeCells count="8">
    <mergeCell ref="D1:E1"/>
    <mergeCell ref="D2:E2"/>
    <mergeCell ref="D3:E3"/>
    <mergeCell ref="D4:E4"/>
    <mergeCell ref="B5:E5"/>
    <mergeCell ref="B6:E6"/>
    <mergeCell ref="A7:E7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36"/>
  </cols>
  <sheetData>
    <row r="2" customFormat="false" ht="19.7" hidden="false" customHeight="false" outlineLevel="0" collapsed="false">
      <c r="A2" s="43" t="s">
        <v>94</v>
      </c>
      <c r="B2" s="43"/>
      <c r="C2" s="43"/>
      <c r="D2" s="43"/>
      <c r="E2" s="43"/>
      <c r="F2" s="43"/>
      <c r="G2" s="43"/>
    </row>
    <row r="4" customFormat="false" ht="20.1" hidden="false" customHeight="true" outlineLevel="0" collapsed="false">
      <c r="A4" s="31" t="s">
        <v>99</v>
      </c>
      <c r="B4" s="32" t="s">
        <v>809</v>
      </c>
      <c r="C4" s="32"/>
      <c r="D4" s="32"/>
      <c r="E4" s="31" t="s">
        <v>810</v>
      </c>
      <c r="F4" s="44" t="s">
        <v>570</v>
      </c>
      <c r="G4" s="44"/>
    </row>
    <row r="5" customFormat="false" ht="66" hidden="false" customHeight="true" outlineLevel="0" collapsed="false">
      <c r="A5" s="31" t="s">
        <v>103</v>
      </c>
      <c r="B5" s="32" t="s">
        <v>811</v>
      </c>
      <c r="C5" s="32"/>
      <c r="D5" s="32"/>
      <c r="E5" s="31" t="s">
        <v>105</v>
      </c>
      <c r="F5" s="45" t="s">
        <v>812</v>
      </c>
      <c r="G5" s="45"/>
    </row>
    <row r="6" customFormat="false" ht="19.7" hidden="false" customHeight="false" outlineLevel="0" collapsed="false">
      <c r="A6" s="31" t="s">
        <v>107</v>
      </c>
      <c r="B6" s="44" t="s">
        <v>813</v>
      </c>
      <c r="C6" s="44"/>
      <c r="D6" s="44"/>
      <c r="E6" s="44"/>
      <c r="F6" s="44"/>
      <c r="G6" s="44"/>
    </row>
    <row r="8" customFormat="false" ht="20.1" hidden="false" customHeight="true" outlineLevel="0" collapsed="false">
      <c r="A8" s="8" t="s">
        <v>7</v>
      </c>
      <c r="B8" s="8" t="s">
        <v>113</v>
      </c>
      <c r="C8" s="8" t="s">
        <v>114</v>
      </c>
      <c r="D8" s="8"/>
      <c r="E8" s="8" t="s">
        <v>115</v>
      </c>
      <c r="F8" s="8" t="s">
        <v>116</v>
      </c>
      <c r="G8" s="8" t="s">
        <v>117</v>
      </c>
      <c r="H8" s="8" t="s">
        <v>814</v>
      </c>
    </row>
    <row r="9" customFormat="false" ht="20.1" hidden="false" customHeight="false" outlineLevel="0" collapsed="false">
      <c r="A9" s="8"/>
      <c r="B9" s="8"/>
      <c r="C9" s="11" t="s">
        <v>408</v>
      </c>
      <c r="D9" s="11" t="s">
        <v>409</v>
      </c>
      <c r="E9" s="8"/>
      <c r="F9" s="8"/>
      <c r="G9" s="8"/>
      <c r="H9" s="8"/>
    </row>
    <row r="10" customFormat="false" ht="55.2" hidden="false" customHeight="false" outlineLevel="0" collapsed="false">
      <c r="A10" s="46" t="s">
        <v>16</v>
      </c>
      <c r="B10" s="46" t="s">
        <v>594</v>
      </c>
      <c r="C10" s="47" t="s">
        <v>815</v>
      </c>
      <c r="D10" s="47" t="s">
        <v>816</v>
      </c>
      <c r="E10" s="48" t="s">
        <v>817</v>
      </c>
      <c r="F10" s="48" t="s">
        <v>818</v>
      </c>
      <c r="G10" s="46" t="s">
        <v>10</v>
      </c>
      <c r="H10" s="47" t="s">
        <v>819</v>
      </c>
    </row>
    <row r="11" customFormat="false" ht="37.3" hidden="false" customHeight="false" outlineLevel="0" collapsed="false">
      <c r="A11" s="46" t="s">
        <v>16</v>
      </c>
      <c r="B11" s="46" t="s">
        <v>599</v>
      </c>
      <c r="C11" s="47" t="s">
        <v>820</v>
      </c>
      <c r="D11" s="47" t="s">
        <v>435</v>
      </c>
      <c r="E11" s="48" t="s">
        <v>821</v>
      </c>
      <c r="F11" s="48" t="s">
        <v>821</v>
      </c>
      <c r="G11" s="46" t="s">
        <v>10</v>
      </c>
      <c r="H11" s="47" t="s">
        <v>819</v>
      </c>
    </row>
    <row r="12" customFormat="false" ht="55.2" hidden="false" customHeight="false" outlineLevel="0" collapsed="false">
      <c r="A12" s="46" t="s">
        <v>16</v>
      </c>
      <c r="B12" s="46" t="s">
        <v>602</v>
      </c>
      <c r="C12" s="47" t="s">
        <v>820</v>
      </c>
      <c r="D12" s="47" t="s">
        <v>459</v>
      </c>
      <c r="E12" s="47" t="s">
        <v>476</v>
      </c>
      <c r="F12" s="47" t="s">
        <v>476</v>
      </c>
      <c r="G12" s="46" t="s">
        <v>10</v>
      </c>
      <c r="H12" s="47" t="s">
        <v>819</v>
      </c>
    </row>
    <row r="13" customFormat="false" ht="37.3" hidden="false" customHeight="false" outlineLevel="0" collapsed="false">
      <c r="A13" s="46" t="s">
        <v>16</v>
      </c>
      <c r="B13" s="46" t="s">
        <v>607</v>
      </c>
      <c r="C13" s="47" t="s">
        <v>822</v>
      </c>
      <c r="D13" s="47" t="s">
        <v>823</v>
      </c>
      <c r="E13" s="48" t="s">
        <v>824</v>
      </c>
      <c r="F13" s="48" t="s">
        <v>824</v>
      </c>
      <c r="G13" s="46" t="s">
        <v>10</v>
      </c>
      <c r="H13" s="47" t="s">
        <v>819</v>
      </c>
    </row>
    <row r="14" customFormat="false" ht="37.3" hidden="false" customHeight="false" outlineLevel="0" collapsed="false">
      <c r="A14" s="46" t="s">
        <v>16</v>
      </c>
      <c r="B14" s="46" t="s">
        <v>611</v>
      </c>
      <c r="C14" s="47" t="s">
        <v>825</v>
      </c>
      <c r="D14" s="47" t="s">
        <v>826</v>
      </c>
      <c r="E14" s="48" t="s">
        <v>827</v>
      </c>
      <c r="F14" s="48" t="s">
        <v>827</v>
      </c>
      <c r="G14" s="46" t="s">
        <v>10</v>
      </c>
      <c r="H14" s="47" t="s">
        <v>819</v>
      </c>
    </row>
    <row r="15" customFormat="false" ht="73.1" hidden="false" customHeight="false" outlineLevel="0" collapsed="false">
      <c r="A15" s="46" t="s">
        <v>16</v>
      </c>
      <c r="B15" s="46" t="s">
        <v>615</v>
      </c>
      <c r="C15" s="47" t="s">
        <v>825</v>
      </c>
      <c r="D15" s="47" t="s">
        <v>459</v>
      </c>
      <c r="E15" s="47" t="s">
        <v>828</v>
      </c>
      <c r="F15" s="47" t="s">
        <v>829</v>
      </c>
      <c r="G15" s="46" t="s">
        <v>10</v>
      </c>
      <c r="H15" s="47" t="s">
        <v>830</v>
      </c>
    </row>
    <row r="16" customFormat="false" ht="73.1" hidden="false" customHeight="false" outlineLevel="0" collapsed="false">
      <c r="A16" s="46" t="s">
        <v>16</v>
      </c>
      <c r="B16" s="46" t="s">
        <v>434</v>
      </c>
      <c r="C16" s="47" t="s">
        <v>412</v>
      </c>
      <c r="D16" s="47" t="s">
        <v>435</v>
      </c>
      <c r="E16" s="48" t="s">
        <v>831</v>
      </c>
      <c r="F16" s="47" t="s">
        <v>832</v>
      </c>
      <c r="G16" s="46" t="s">
        <v>10</v>
      </c>
      <c r="H16" s="47" t="s">
        <v>830</v>
      </c>
    </row>
    <row r="17" customFormat="false" ht="73.1" hidden="false" customHeight="false" outlineLevel="0" collapsed="false">
      <c r="A17" s="46" t="s">
        <v>16</v>
      </c>
      <c r="B17" s="46" t="s">
        <v>458</v>
      </c>
      <c r="C17" s="47" t="s">
        <v>412</v>
      </c>
      <c r="D17" s="47" t="s">
        <v>459</v>
      </c>
      <c r="E17" s="47" t="s">
        <v>833</v>
      </c>
      <c r="F17" s="47" t="s">
        <v>834</v>
      </c>
      <c r="G17" s="46" t="s">
        <v>10</v>
      </c>
      <c r="H17" s="47" t="s">
        <v>830</v>
      </c>
    </row>
    <row r="18" customFormat="false" ht="73.1" hidden="false" customHeight="false" outlineLevel="0" collapsed="false">
      <c r="A18" s="46" t="s">
        <v>16</v>
      </c>
      <c r="B18" s="46" t="s">
        <v>438</v>
      </c>
      <c r="C18" s="47" t="s">
        <v>412</v>
      </c>
      <c r="D18" s="47" t="s">
        <v>435</v>
      </c>
      <c r="E18" s="48" t="s">
        <v>835</v>
      </c>
      <c r="F18" s="47" t="s">
        <v>836</v>
      </c>
      <c r="G18" s="46" t="s">
        <v>10</v>
      </c>
      <c r="H18" s="47" t="s">
        <v>830</v>
      </c>
    </row>
    <row r="19" customFormat="false" ht="55.2" hidden="false" customHeight="false" outlineLevel="0" collapsed="false">
      <c r="A19" s="46" t="s">
        <v>16</v>
      </c>
      <c r="B19" s="46" t="s">
        <v>411</v>
      </c>
      <c r="C19" s="47" t="s">
        <v>412</v>
      </c>
      <c r="D19" s="47" t="s">
        <v>837</v>
      </c>
      <c r="E19" s="47" t="s">
        <v>415</v>
      </c>
      <c r="F19" s="47" t="s">
        <v>415</v>
      </c>
      <c r="G19" s="46" t="s">
        <v>10</v>
      </c>
      <c r="H19" s="47" t="s">
        <v>819</v>
      </c>
    </row>
    <row r="20" customFormat="false" ht="55.2" hidden="false" customHeight="false" outlineLevel="0" collapsed="false">
      <c r="A20" s="46" t="s">
        <v>20</v>
      </c>
      <c r="B20" s="46" t="s">
        <v>633</v>
      </c>
      <c r="C20" s="47" t="s">
        <v>838</v>
      </c>
      <c r="D20" s="47" t="s">
        <v>839</v>
      </c>
      <c r="E20" s="48" t="s">
        <v>840</v>
      </c>
      <c r="F20" s="48" t="s">
        <v>841</v>
      </c>
      <c r="G20" s="46" t="s">
        <v>10</v>
      </c>
      <c r="H20" s="47" t="s">
        <v>842</v>
      </c>
    </row>
    <row r="21" customFormat="false" ht="73.1" hidden="false" customHeight="false" outlineLevel="0" collapsed="false">
      <c r="A21" s="46" t="s">
        <v>20</v>
      </c>
      <c r="B21" s="46" t="s">
        <v>636</v>
      </c>
      <c r="C21" s="47" t="s">
        <v>838</v>
      </c>
      <c r="D21" s="47" t="s">
        <v>843</v>
      </c>
      <c r="E21" s="47" t="s">
        <v>844</v>
      </c>
      <c r="F21" s="47" t="s">
        <v>845</v>
      </c>
      <c r="G21" s="46" t="s">
        <v>10</v>
      </c>
      <c r="H21" s="47" t="s">
        <v>846</v>
      </c>
    </row>
    <row r="22" customFormat="false" ht="37.3" hidden="false" customHeight="false" outlineLevel="0" collapsed="false">
      <c r="A22" s="46" t="s">
        <v>20</v>
      </c>
      <c r="B22" s="46" t="s">
        <v>640</v>
      </c>
      <c r="C22" s="47" t="s">
        <v>847</v>
      </c>
      <c r="D22" s="47" t="s">
        <v>435</v>
      </c>
      <c r="E22" s="48" t="s">
        <v>848</v>
      </c>
      <c r="F22" s="48" t="s">
        <v>848</v>
      </c>
      <c r="G22" s="46" t="s">
        <v>10</v>
      </c>
      <c r="H22" s="47" t="s">
        <v>842</v>
      </c>
    </row>
    <row r="23" customFormat="false" ht="55.2" hidden="false" customHeight="false" outlineLevel="0" collapsed="false">
      <c r="A23" s="46" t="s">
        <v>20</v>
      </c>
      <c r="B23" s="46" t="s">
        <v>643</v>
      </c>
      <c r="C23" s="47" t="s">
        <v>847</v>
      </c>
      <c r="D23" s="47" t="s">
        <v>459</v>
      </c>
      <c r="E23" s="47" t="s">
        <v>476</v>
      </c>
      <c r="F23" s="47" t="s">
        <v>476</v>
      </c>
      <c r="G23" s="46" t="s">
        <v>10</v>
      </c>
      <c r="H23" s="47" t="s">
        <v>842</v>
      </c>
    </row>
    <row r="24" customFormat="false" ht="37.3" hidden="false" customHeight="false" outlineLevel="0" collapsed="false">
      <c r="A24" s="46" t="s">
        <v>20</v>
      </c>
      <c r="B24" s="46" t="s">
        <v>646</v>
      </c>
      <c r="C24" s="47" t="s">
        <v>849</v>
      </c>
      <c r="D24" s="47" t="s">
        <v>850</v>
      </c>
      <c r="E24" s="48" t="s">
        <v>824</v>
      </c>
      <c r="F24" s="48" t="s">
        <v>824</v>
      </c>
      <c r="G24" s="46" t="s">
        <v>10</v>
      </c>
      <c r="H24" s="47" t="s">
        <v>842</v>
      </c>
    </row>
    <row r="25" customFormat="false" ht="37.3" hidden="false" customHeight="false" outlineLevel="0" collapsed="false">
      <c r="A25" s="46" t="s">
        <v>20</v>
      </c>
      <c r="B25" s="46" t="s">
        <v>464</v>
      </c>
      <c r="C25" s="47" t="s">
        <v>465</v>
      </c>
      <c r="D25" s="47" t="s">
        <v>466</v>
      </c>
      <c r="E25" s="48" t="s">
        <v>851</v>
      </c>
      <c r="F25" s="48" t="s">
        <v>851</v>
      </c>
      <c r="G25" s="46" t="s">
        <v>10</v>
      </c>
      <c r="H25" s="47" t="s">
        <v>842</v>
      </c>
    </row>
    <row r="26" customFormat="false" ht="55.2" hidden="false" customHeight="false" outlineLevel="0" collapsed="false">
      <c r="A26" s="46" t="s">
        <v>20</v>
      </c>
      <c r="B26" s="46" t="s">
        <v>475</v>
      </c>
      <c r="C26" s="47" t="s">
        <v>465</v>
      </c>
      <c r="D26" s="47" t="s">
        <v>459</v>
      </c>
      <c r="E26" s="47" t="s">
        <v>476</v>
      </c>
      <c r="F26" s="47" t="s">
        <v>476</v>
      </c>
      <c r="G26" s="46" t="s">
        <v>10</v>
      </c>
      <c r="H26" s="47" t="s">
        <v>842</v>
      </c>
    </row>
    <row r="27" customFormat="false" ht="73.1" hidden="false" customHeight="false" outlineLevel="0" collapsed="false">
      <c r="A27" s="46" t="s">
        <v>20</v>
      </c>
      <c r="B27" s="46" t="s">
        <v>470</v>
      </c>
      <c r="C27" s="47" t="s">
        <v>465</v>
      </c>
      <c r="D27" s="47" t="s">
        <v>471</v>
      </c>
      <c r="E27" s="47" t="s">
        <v>844</v>
      </c>
      <c r="F27" s="47" t="s">
        <v>845</v>
      </c>
      <c r="G27" s="46" t="s">
        <v>10</v>
      </c>
      <c r="H27" s="47" t="s">
        <v>846</v>
      </c>
    </row>
    <row r="28" customFormat="false" ht="73.1" hidden="false" customHeight="false" outlineLevel="0" collapsed="false">
      <c r="A28" s="46" t="s">
        <v>20</v>
      </c>
      <c r="B28" s="46" t="s">
        <v>441</v>
      </c>
      <c r="C28" s="47" t="s">
        <v>417</v>
      </c>
      <c r="D28" s="47" t="s">
        <v>435</v>
      </c>
      <c r="E28" s="48" t="s">
        <v>852</v>
      </c>
      <c r="F28" s="47" t="s">
        <v>853</v>
      </c>
      <c r="G28" s="46" t="s">
        <v>10</v>
      </c>
      <c r="H28" s="47" t="s">
        <v>846</v>
      </c>
    </row>
    <row r="29" customFormat="false" ht="73.1" hidden="false" customHeight="false" outlineLevel="0" collapsed="false">
      <c r="A29" s="46" t="s">
        <v>20</v>
      </c>
      <c r="B29" s="46" t="s">
        <v>462</v>
      </c>
      <c r="C29" s="47" t="s">
        <v>417</v>
      </c>
      <c r="D29" s="47" t="s">
        <v>459</v>
      </c>
      <c r="E29" s="47" t="s">
        <v>833</v>
      </c>
      <c r="F29" s="47" t="s">
        <v>834</v>
      </c>
      <c r="G29" s="46" t="s">
        <v>10</v>
      </c>
      <c r="H29" s="47" t="s">
        <v>846</v>
      </c>
    </row>
    <row r="30" customFormat="false" ht="73.1" hidden="false" customHeight="false" outlineLevel="0" collapsed="false">
      <c r="A30" s="46" t="s">
        <v>20</v>
      </c>
      <c r="B30" s="46" t="s">
        <v>444</v>
      </c>
      <c r="C30" s="47" t="s">
        <v>417</v>
      </c>
      <c r="D30" s="47" t="s">
        <v>435</v>
      </c>
      <c r="E30" s="48" t="s">
        <v>835</v>
      </c>
      <c r="F30" s="47" t="s">
        <v>836</v>
      </c>
      <c r="G30" s="46" t="s">
        <v>10</v>
      </c>
      <c r="H30" s="47" t="s">
        <v>846</v>
      </c>
    </row>
    <row r="31" customFormat="false" ht="55.2" hidden="false" customHeight="false" outlineLevel="0" collapsed="false">
      <c r="A31" s="46" t="s">
        <v>20</v>
      </c>
      <c r="B31" s="46" t="s">
        <v>416</v>
      </c>
      <c r="C31" s="47" t="s">
        <v>417</v>
      </c>
      <c r="D31" s="47" t="s">
        <v>837</v>
      </c>
      <c r="E31" s="47" t="s">
        <v>415</v>
      </c>
      <c r="F31" s="47" t="s">
        <v>415</v>
      </c>
      <c r="G31" s="46" t="s">
        <v>10</v>
      </c>
      <c r="H31" s="47" t="s">
        <v>842</v>
      </c>
    </row>
    <row r="32" customFormat="false" ht="19.4" hidden="false" customHeight="false" outlineLevel="0" collapsed="false">
      <c r="A32" s="46" t="s">
        <v>24</v>
      </c>
      <c r="B32" s="46" t="s">
        <v>478</v>
      </c>
      <c r="C32" s="47" t="s">
        <v>479</v>
      </c>
      <c r="D32" s="47" t="s">
        <v>480</v>
      </c>
      <c r="E32" s="48" t="s">
        <v>854</v>
      </c>
      <c r="F32" s="47" t="s">
        <v>855</v>
      </c>
      <c r="G32" s="46" t="s">
        <v>10</v>
      </c>
      <c r="H32" s="48" t="s">
        <v>856</v>
      </c>
    </row>
    <row r="33" customFormat="false" ht="19.4" hidden="false" customHeight="false" outlineLevel="0" collapsed="false">
      <c r="A33" s="46" t="s">
        <v>24</v>
      </c>
      <c r="B33" s="46" t="s">
        <v>493</v>
      </c>
      <c r="C33" s="47" t="s">
        <v>479</v>
      </c>
      <c r="D33" s="47" t="s">
        <v>494</v>
      </c>
      <c r="E33" s="48" t="s">
        <v>857</v>
      </c>
      <c r="F33" s="47" t="s">
        <v>858</v>
      </c>
      <c r="G33" s="46" t="s">
        <v>10</v>
      </c>
      <c r="H33" s="48" t="s">
        <v>856</v>
      </c>
    </row>
    <row r="34" customFormat="false" ht="37.3" hidden="false" customHeight="false" outlineLevel="0" collapsed="false">
      <c r="A34" s="46" t="s">
        <v>24</v>
      </c>
      <c r="B34" s="46" t="s">
        <v>483</v>
      </c>
      <c r="C34" s="47" t="s">
        <v>484</v>
      </c>
      <c r="D34" s="47" t="s">
        <v>485</v>
      </c>
      <c r="E34" s="48" t="s">
        <v>859</v>
      </c>
      <c r="F34" s="47" t="s">
        <v>480</v>
      </c>
      <c r="G34" s="46" t="s">
        <v>10</v>
      </c>
      <c r="H34" s="48" t="s">
        <v>856</v>
      </c>
    </row>
    <row r="35" customFormat="false" ht="52.2" hidden="false" customHeight="false" outlineLevel="0" collapsed="false">
      <c r="A35" s="46" t="s">
        <v>24</v>
      </c>
      <c r="B35" s="46" t="s">
        <v>497</v>
      </c>
      <c r="C35" s="47" t="s">
        <v>484</v>
      </c>
      <c r="D35" s="47" t="s">
        <v>498</v>
      </c>
      <c r="E35" s="48" t="s">
        <v>860</v>
      </c>
      <c r="F35" s="47" t="s">
        <v>494</v>
      </c>
      <c r="G35" s="46" t="s">
        <v>10</v>
      </c>
      <c r="H35" s="48" t="s">
        <v>856</v>
      </c>
    </row>
    <row r="36" customFormat="false" ht="55.2" hidden="false" customHeight="false" outlineLevel="0" collapsed="false">
      <c r="A36" s="46" t="s">
        <v>24</v>
      </c>
      <c r="B36" s="46" t="s">
        <v>506</v>
      </c>
      <c r="C36" s="47" t="s">
        <v>484</v>
      </c>
      <c r="D36" s="47" t="s">
        <v>861</v>
      </c>
      <c r="E36" s="47" t="s">
        <v>509</v>
      </c>
      <c r="F36" s="47" t="s">
        <v>509</v>
      </c>
      <c r="G36" s="46" t="s">
        <v>10</v>
      </c>
      <c r="H36" s="48" t="s">
        <v>856</v>
      </c>
    </row>
    <row r="37" customFormat="false" ht="108.95" hidden="false" customHeight="false" outlineLevel="0" collapsed="false">
      <c r="A37" s="46" t="s">
        <v>27</v>
      </c>
      <c r="B37" s="46" t="s">
        <v>501</v>
      </c>
      <c r="C37" s="47" t="s">
        <v>489</v>
      </c>
      <c r="D37" s="48" t="s">
        <v>862</v>
      </c>
      <c r="E37" s="47" t="s">
        <v>863</v>
      </c>
      <c r="F37" s="47" t="s">
        <v>864</v>
      </c>
      <c r="G37" s="46" t="s">
        <v>10</v>
      </c>
      <c r="H37" s="47" t="s">
        <v>865</v>
      </c>
    </row>
    <row r="38" customFormat="false" ht="108.95" hidden="false" customHeight="false" outlineLevel="0" collapsed="false">
      <c r="A38" s="46" t="s">
        <v>27</v>
      </c>
      <c r="B38" s="46" t="s">
        <v>488</v>
      </c>
      <c r="C38" s="47" t="s">
        <v>489</v>
      </c>
      <c r="D38" s="48" t="s">
        <v>866</v>
      </c>
      <c r="E38" s="47" t="s">
        <v>867</v>
      </c>
      <c r="F38" s="47" t="s">
        <v>868</v>
      </c>
      <c r="G38" s="46" t="s">
        <v>10</v>
      </c>
      <c r="H38" s="47" t="s">
        <v>865</v>
      </c>
    </row>
    <row r="39" customFormat="false" ht="55.2" hidden="false" customHeight="false" outlineLevel="0" collapsed="false">
      <c r="A39" s="46" t="s">
        <v>31</v>
      </c>
      <c r="B39" s="46" t="s">
        <v>511</v>
      </c>
      <c r="C39" s="47" t="s">
        <v>512</v>
      </c>
      <c r="D39" s="47" t="s">
        <v>513</v>
      </c>
      <c r="E39" s="47" t="s">
        <v>515</v>
      </c>
      <c r="F39" s="47" t="s">
        <v>515</v>
      </c>
      <c r="G39" s="46" t="s">
        <v>10</v>
      </c>
      <c r="H39" s="47" t="s">
        <v>869</v>
      </c>
    </row>
    <row r="40" customFormat="false" ht="37.3" hidden="false" customHeight="false" outlineLevel="0" collapsed="false">
      <c r="A40" s="46" t="s">
        <v>31</v>
      </c>
      <c r="B40" s="46" t="s">
        <v>523</v>
      </c>
      <c r="C40" s="47" t="s">
        <v>512</v>
      </c>
      <c r="D40" s="47" t="s">
        <v>524</v>
      </c>
      <c r="E40" s="47" t="s">
        <v>870</v>
      </c>
      <c r="F40" s="47" t="s">
        <v>871</v>
      </c>
      <c r="G40" s="46" t="s">
        <v>10</v>
      </c>
      <c r="H40" s="47" t="s">
        <v>872</v>
      </c>
    </row>
    <row r="41" customFormat="false" ht="37.3" hidden="false" customHeight="false" outlineLevel="0" collapsed="false">
      <c r="A41" s="46" t="s">
        <v>31</v>
      </c>
      <c r="B41" s="46" t="s">
        <v>694</v>
      </c>
      <c r="C41" s="47" t="s">
        <v>873</v>
      </c>
      <c r="D41" s="47" t="s">
        <v>459</v>
      </c>
      <c r="E41" s="47" t="s">
        <v>693</v>
      </c>
      <c r="F41" s="47" t="s">
        <v>693</v>
      </c>
      <c r="G41" s="46" t="s">
        <v>10</v>
      </c>
      <c r="H41" s="47" t="s">
        <v>869</v>
      </c>
    </row>
    <row r="42" customFormat="false" ht="37.3" hidden="false" customHeight="false" outlineLevel="0" collapsed="false">
      <c r="A42" s="46" t="s">
        <v>31</v>
      </c>
      <c r="B42" s="46" t="s">
        <v>445</v>
      </c>
      <c r="C42" s="47" t="s">
        <v>420</v>
      </c>
      <c r="D42" s="47" t="s">
        <v>435</v>
      </c>
      <c r="E42" s="47" t="s">
        <v>447</v>
      </c>
      <c r="F42" s="47" t="s">
        <v>447</v>
      </c>
      <c r="G42" s="46" t="s">
        <v>10</v>
      </c>
      <c r="H42" s="47" t="s">
        <v>872</v>
      </c>
    </row>
    <row r="43" customFormat="false" ht="37.3" hidden="false" customHeight="false" outlineLevel="0" collapsed="false">
      <c r="A43" s="46" t="s">
        <v>31</v>
      </c>
      <c r="B43" s="46" t="s">
        <v>419</v>
      </c>
      <c r="C43" s="47" t="s">
        <v>420</v>
      </c>
      <c r="D43" s="47" t="s">
        <v>874</v>
      </c>
      <c r="E43" s="47" t="s">
        <v>422</v>
      </c>
      <c r="F43" s="47" t="s">
        <v>422</v>
      </c>
      <c r="G43" s="46" t="s">
        <v>10</v>
      </c>
      <c r="H43" s="47" t="s">
        <v>869</v>
      </c>
    </row>
    <row r="44" customFormat="false" ht="37.3" hidden="false" customHeight="false" outlineLevel="0" collapsed="false">
      <c r="A44" s="46" t="s">
        <v>31</v>
      </c>
      <c r="B44" s="46" t="s">
        <v>527</v>
      </c>
      <c r="C44" s="47" t="s">
        <v>512</v>
      </c>
      <c r="D44" s="47" t="s">
        <v>875</v>
      </c>
      <c r="E44" s="47" t="s">
        <v>870</v>
      </c>
      <c r="F44" s="47" t="s">
        <v>870</v>
      </c>
      <c r="G44" s="46" t="s">
        <v>10</v>
      </c>
      <c r="H44" s="47" t="s">
        <v>872</v>
      </c>
    </row>
    <row r="45" customFormat="false" ht="55.2" hidden="false" customHeight="false" outlineLevel="0" collapsed="false">
      <c r="A45" s="46" t="s">
        <v>35</v>
      </c>
      <c r="B45" s="46" t="s">
        <v>516</v>
      </c>
      <c r="C45" s="47" t="s">
        <v>517</v>
      </c>
      <c r="D45" s="47" t="s">
        <v>518</v>
      </c>
      <c r="E45" s="47" t="s">
        <v>515</v>
      </c>
      <c r="F45" s="47" t="s">
        <v>515</v>
      </c>
      <c r="G45" s="46" t="s">
        <v>10</v>
      </c>
      <c r="H45" s="47" t="s">
        <v>876</v>
      </c>
    </row>
    <row r="46" customFormat="false" ht="55.2" hidden="false" customHeight="false" outlineLevel="0" collapsed="false">
      <c r="A46" s="46" t="s">
        <v>35</v>
      </c>
      <c r="B46" s="46" t="s">
        <v>530</v>
      </c>
      <c r="C46" s="47" t="s">
        <v>517</v>
      </c>
      <c r="D46" s="47" t="s">
        <v>531</v>
      </c>
      <c r="E46" s="47" t="s">
        <v>870</v>
      </c>
      <c r="F46" s="47" t="s">
        <v>871</v>
      </c>
      <c r="G46" s="46" t="s">
        <v>10</v>
      </c>
      <c r="H46" s="47" t="s">
        <v>877</v>
      </c>
    </row>
    <row r="47" customFormat="false" ht="55.2" hidden="false" customHeight="false" outlineLevel="0" collapsed="false">
      <c r="A47" s="46" t="s">
        <v>35</v>
      </c>
      <c r="B47" s="46" t="s">
        <v>532</v>
      </c>
      <c r="C47" s="47" t="s">
        <v>533</v>
      </c>
      <c r="D47" s="47" t="s">
        <v>534</v>
      </c>
      <c r="E47" s="47" t="s">
        <v>870</v>
      </c>
      <c r="F47" s="47" t="s">
        <v>871</v>
      </c>
      <c r="G47" s="46" t="s">
        <v>10</v>
      </c>
      <c r="H47" s="47" t="s">
        <v>877</v>
      </c>
    </row>
    <row r="48" customFormat="false" ht="55.2" hidden="false" customHeight="false" outlineLevel="0" collapsed="false">
      <c r="A48" s="46" t="s">
        <v>35</v>
      </c>
      <c r="B48" s="46" t="s">
        <v>714</v>
      </c>
      <c r="C48" s="47" t="s">
        <v>878</v>
      </c>
      <c r="D48" s="47" t="s">
        <v>459</v>
      </c>
      <c r="E48" s="47" t="s">
        <v>693</v>
      </c>
      <c r="F48" s="47" t="s">
        <v>693</v>
      </c>
      <c r="G48" s="46" t="s">
        <v>10</v>
      </c>
      <c r="H48" s="47" t="s">
        <v>876</v>
      </c>
    </row>
    <row r="49" customFormat="false" ht="37.3" hidden="false" customHeight="false" outlineLevel="0" collapsed="false">
      <c r="A49" s="46" t="s">
        <v>35</v>
      </c>
      <c r="B49" s="46" t="s">
        <v>423</v>
      </c>
      <c r="C49" s="47" t="s">
        <v>424</v>
      </c>
      <c r="D49" s="47" t="s">
        <v>874</v>
      </c>
      <c r="E49" s="47" t="s">
        <v>422</v>
      </c>
      <c r="F49" s="47" t="s">
        <v>422</v>
      </c>
      <c r="G49" s="46" t="s">
        <v>10</v>
      </c>
      <c r="H49" s="47" t="s">
        <v>876</v>
      </c>
    </row>
    <row r="50" customFormat="false" ht="37.3" hidden="false" customHeight="false" outlineLevel="0" collapsed="false">
      <c r="A50" s="46" t="s">
        <v>38</v>
      </c>
      <c r="B50" s="46" t="s">
        <v>121</v>
      </c>
      <c r="C50" s="47" t="s">
        <v>545</v>
      </c>
      <c r="D50" s="47" t="s">
        <v>546</v>
      </c>
      <c r="E50" s="48" t="s">
        <v>879</v>
      </c>
      <c r="F50" s="48" t="s">
        <v>879</v>
      </c>
      <c r="G50" s="46" t="s">
        <v>10</v>
      </c>
      <c r="H50" s="48" t="s">
        <v>856</v>
      </c>
    </row>
    <row r="51" customFormat="false" ht="37.3" hidden="false" customHeight="false" outlineLevel="0" collapsed="false">
      <c r="A51" s="46" t="s">
        <v>38</v>
      </c>
      <c r="B51" s="46" t="s">
        <v>128</v>
      </c>
      <c r="C51" s="47" t="s">
        <v>545</v>
      </c>
      <c r="D51" s="47" t="s">
        <v>880</v>
      </c>
      <c r="E51" s="48" t="s">
        <v>879</v>
      </c>
      <c r="F51" s="48" t="s">
        <v>879</v>
      </c>
      <c r="G51" s="46" t="s">
        <v>10</v>
      </c>
      <c r="H51" s="48" t="s">
        <v>856</v>
      </c>
    </row>
    <row r="52" customFormat="false" ht="37.3" hidden="false" customHeight="false" outlineLevel="0" collapsed="false">
      <c r="A52" s="46" t="s">
        <v>38</v>
      </c>
      <c r="B52" s="46" t="s">
        <v>130</v>
      </c>
      <c r="C52" s="47" t="s">
        <v>545</v>
      </c>
      <c r="D52" s="47" t="s">
        <v>881</v>
      </c>
      <c r="E52" s="48" t="s">
        <v>879</v>
      </c>
      <c r="F52" s="48" t="s">
        <v>879</v>
      </c>
      <c r="G52" s="46" t="s">
        <v>10</v>
      </c>
      <c r="H52" s="48" t="s">
        <v>856</v>
      </c>
    </row>
    <row r="53" customFormat="false" ht="37.3" hidden="false" customHeight="false" outlineLevel="0" collapsed="false">
      <c r="A53" s="46" t="s">
        <v>38</v>
      </c>
      <c r="B53" s="46" t="s">
        <v>132</v>
      </c>
      <c r="C53" s="47" t="s">
        <v>545</v>
      </c>
      <c r="D53" s="47" t="s">
        <v>882</v>
      </c>
      <c r="E53" s="48" t="s">
        <v>879</v>
      </c>
      <c r="F53" s="48" t="s">
        <v>879</v>
      </c>
      <c r="G53" s="46" t="s">
        <v>10</v>
      </c>
      <c r="H53" s="48" t="s">
        <v>856</v>
      </c>
    </row>
    <row r="54" customFormat="false" ht="37.3" hidden="false" customHeight="false" outlineLevel="0" collapsed="false">
      <c r="A54" s="46" t="s">
        <v>38</v>
      </c>
      <c r="B54" s="46" t="s">
        <v>134</v>
      </c>
      <c r="C54" s="47" t="s">
        <v>545</v>
      </c>
      <c r="D54" s="47" t="s">
        <v>883</v>
      </c>
      <c r="E54" s="48" t="s">
        <v>879</v>
      </c>
      <c r="F54" s="48" t="s">
        <v>879</v>
      </c>
      <c r="G54" s="46" t="s">
        <v>10</v>
      </c>
      <c r="H54" s="48" t="s">
        <v>856</v>
      </c>
    </row>
    <row r="55" customFormat="false" ht="37.3" hidden="false" customHeight="false" outlineLevel="0" collapsed="false">
      <c r="A55" s="46" t="s">
        <v>38</v>
      </c>
      <c r="B55" s="46" t="s">
        <v>136</v>
      </c>
      <c r="C55" s="47" t="s">
        <v>545</v>
      </c>
      <c r="D55" s="47" t="s">
        <v>884</v>
      </c>
      <c r="E55" s="48" t="s">
        <v>879</v>
      </c>
      <c r="F55" s="48" t="s">
        <v>879</v>
      </c>
      <c r="G55" s="46" t="s">
        <v>10</v>
      </c>
      <c r="H55" s="48" t="s">
        <v>856</v>
      </c>
    </row>
    <row r="56" customFormat="false" ht="37.3" hidden="false" customHeight="false" outlineLevel="0" collapsed="false">
      <c r="A56" s="46" t="s">
        <v>38</v>
      </c>
      <c r="B56" s="46" t="s">
        <v>137</v>
      </c>
      <c r="C56" s="47" t="s">
        <v>545</v>
      </c>
      <c r="D56" s="47" t="s">
        <v>885</v>
      </c>
      <c r="E56" s="48" t="s">
        <v>879</v>
      </c>
      <c r="F56" s="48" t="s">
        <v>879</v>
      </c>
      <c r="G56" s="46" t="s">
        <v>10</v>
      </c>
      <c r="H56" s="48" t="s">
        <v>856</v>
      </c>
    </row>
    <row r="57" customFormat="false" ht="37.3" hidden="false" customHeight="false" outlineLevel="0" collapsed="false">
      <c r="A57" s="46" t="s">
        <v>38</v>
      </c>
      <c r="B57" s="46" t="s">
        <v>138</v>
      </c>
      <c r="C57" s="47" t="s">
        <v>545</v>
      </c>
      <c r="D57" s="47" t="s">
        <v>886</v>
      </c>
      <c r="E57" s="48" t="s">
        <v>879</v>
      </c>
      <c r="F57" s="48" t="s">
        <v>879</v>
      </c>
      <c r="G57" s="46" t="s">
        <v>10</v>
      </c>
      <c r="H57" s="48" t="s">
        <v>856</v>
      </c>
    </row>
    <row r="58" customFormat="false" ht="37.3" hidden="false" customHeight="false" outlineLevel="0" collapsed="false">
      <c r="A58" s="46" t="s">
        <v>38</v>
      </c>
      <c r="B58" s="46" t="s">
        <v>140</v>
      </c>
      <c r="C58" s="47" t="s">
        <v>545</v>
      </c>
      <c r="D58" s="47" t="s">
        <v>887</v>
      </c>
      <c r="E58" s="48" t="s">
        <v>879</v>
      </c>
      <c r="F58" s="48" t="s">
        <v>879</v>
      </c>
      <c r="G58" s="46" t="s">
        <v>10</v>
      </c>
      <c r="H58" s="48" t="s">
        <v>856</v>
      </c>
    </row>
    <row r="59" customFormat="false" ht="37.3" hidden="false" customHeight="false" outlineLevel="0" collapsed="false">
      <c r="A59" s="46" t="s">
        <v>38</v>
      </c>
      <c r="B59" s="46" t="s">
        <v>143</v>
      </c>
      <c r="C59" s="47" t="s">
        <v>545</v>
      </c>
      <c r="D59" s="47" t="s">
        <v>546</v>
      </c>
      <c r="E59" s="48" t="s">
        <v>879</v>
      </c>
      <c r="F59" s="48" t="s">
        <v>879</v>
      </c>
      <c r="G59" s="46" t="s">
        <v>10</v>
      </c>
      <c r="H59" s="48" t="s">
        <v>856</v>
      </c>
    </row>
    <row r="60" customFormat="false" ht="37.3" hidden="false" customHeight="false" outlineLevel="0" collapsed="false">
      <c r="A60" s="46" t="s">
        <v>38</v>
      </c>
      <c r="B60" s="46" t="s">
        <v>144</v>
      </c>
      <c r="C60" s="47" t="s">
        <v>545</v>
      </c>
      <c r="D60" s="47" t="s">
        <v>880</v>
      </c>
      <c r="E60" s="48" t="s">
        <v>879</v>
      </c>
      <c r="F60" s="48" t="s">
        <v>879</v>
      </c>
      <c r="G60" s="46" t="s">
        <v>10</v>
      </c>
      <c r="H60" s="48" t="s">
        <v>856</v>
      </c>
    </row>
    <row r="61" customFormat="false" ht="37.3" hidden="false" customHeight="false" outlineLevel="0" collapsed="false">
      <c r="A61" s="46" t="s">
        <v>38</v>
      </c>
      <c r="B61" s="46" t="s">
        <v>145</v>
      </c>
      <c r="C61" s="47" t="s">
        <v>545</v>
      </c>
      <c r="D61" s="47" t="s">
        <v>881</v>
      </c>
      <c r="E61" s="48" t="s">
        <v>879</v>
      </c>
      <c r="F61" s="48" t="s">
        <v>879</v>
      </c>
      <c r="G61" s="46" t="s">
        <v>10</v>
      </c>
      <c r="H61" s="48" t="s">
        <v>856</v>
      </c>
    </row>
    <row r="62" customFormat="false" ht="37.3" hidden="false" customHeight="false" outlineLevel="0" collapsed="false">
      <c r="A62" s="46" t="s">
        <v>38</v>
      </c>
      <c r="B62" s="46" t="s">
        <v>146</v>
      </c>
      <c r="C62" s="47" t="s">
        <v>545</v>
      </c>
      <c r="D62" s="47" t="s">
        <v>882</v>
      </c>
      <c r="E62" s="48" t="s">
        <v>879</v>
      </c>
      <c r="F62" s="48" t="s">
        <v>879</v>
      </c>
      <c r="G62" s="46" t="s">
        <v>10</v>
      </c>
      <c r="H62" s="48" t="s">
        <v>856</v>
      </c>
    </row>
    <row r="63" customFormat="false" ht="37.3" hidden="false" customHeight="false" outlineLevel="0" collapsed="false">
      <c r="A63" s="46" t="s">
        <v>38</v>
      </c>
      <c r="B63" s="46" t="s">
        <v>147</v>
      </c>
      <c r="C63" s="47" t="s">
        <v>545</v>
      </c>
      <c r="D63" s="47" t="s">
        <v>883</v>
      </c>
      <c r="E63" s="48" t="s">
        <v>879</v>
      </c>
      <c r="F63" s="48" t="s">
        <v>879</v>
      </c>
      <c r="G63" s="46" t="s">
        <v>10</v>
      </c>
      <c r="H63" s="48" t="s">
        <v>856</v>
      </c>
    </row>
    <row r="64" customFormat="false" ht="37.3" hidden="false" customHeight="false" outlineLevel="0" collapsed="false">
      <c r="A64" s="46" t="s">
        <v>38</v>
      </c>
      <c r="B64" s="46" t="s">
        <v>148</v>
      </c>
      <c r="C64" s="47" t="s">
        <v>545</v>
      </c>
      <c r="D64" s="47" t="s">
        <v>884</v>
      </c>
      <c r="E64" s="48" t="s">
        <v>879</v>
      </c>
      <c r="F64" s="48" t="s">
        <v>879</v>
      </c>
      <c r="G64" s="46" t="s">
        <v>10</v>
      </c>
      <c r="H64" s="48" t="s">
        <v>856</v>
      </c>
    </row>
    <row r="65" customFormat="false" ht="37.3" hidden="false" customHeight="false" outlineLevel="0" collapsed="false">
      <c r="A65" s="46" t="s">
        <v>38</v>
      </c>
      <c r="B65" s="46" t="s">
        <v>149</v>
      </c>
      <c r="C65" s="47" t="s">
        <v>545</v>
      </c>
      <c r="D65" s="47" t="s">
        <v>885</v>
      </c>
      <c r="E65" s="48" t="s">
        <v>879</v>
      </c>
      <c r="F65" s="48" t="s">
        <v>879</v>
      </c>
      <c r="G65" s="46" t="s">
        <v>10</v>
      </c>
      <c r="H65" s="48" t="s">
        <v>856</v>
      </c>
    </row>
    <row r="66" customFormat="false" ht="37.3" hidden="false" customHeight="false" outlineLevel="0" collapsed="false">
      <c r="A66" s="46" t="s">
        <v>38</v>
      </c>
      <c r="B66" s="46" t="s">
        <v>150</v>
      </c>
      <c r="C66" s="47" t="s">
        <v>545</v>
      </c>
      <c r="D66" s="47" t="s">
        <v>886</v>
      </c>
      <c r="E66" s="48" t="s">
        <v>879</v>
      </c>
      <c r="F66" s="48" t="s">
        <v>879</v>
      </c>
      <c r="G66" s="46" t="s">
        <v>10</v>
      </c>
      <c r="H66" s="48" t="s">
        <v>856</v>
      </c>
    </row>
    <row r="67" customFormat="false" ht="37.3" hidden="false" customHeight="false" outlineLevel="0" collapsed="false">
      <c r="A67" s="46" t="s">
        <v>38</v>
      </c>
      <c r="B67" s="46" t="s">
        <v>151</v>
      </c>
      <c r="C67" s="47" t="s">
        <v>545</v>
      </c>
      <c r="D67" s="47" t="s">
        <v>887</v>
      </c>
      <c r="E67" s="48" t="s">
        <v>879</v>
      </c>
      <c r="F67" s="48" t="s">
        <v>879</v>
      </c>
      <c r="G67" s="46" t="s">
        <v>10</v>
      </c>
      <c r="H67" s="48" t="s">
        <v>856</v>
      </c>
    </row>
    <row r="68" customFormat="false" ht="37.3" hidden="false" customHeight="false" outlineLevel="0" collapsed="false">
      <c r="A68" s="46" t="s">
        <v>38</v>
      </c>
      <c r="B68" s="46" t="s">
        <v>152</v>
      </c>
      <c r="C68" s="47" t="s">
        <v>545</v>
      </c>
      <c r="D68" s="47" t="s">
        <v>552</v>
      </c>
      <c r="E68" s="48" t="s">
        <v>888</v>
      </c>
      <c r="F68" s="48" t="s">
        <v>888</v>
      </c>
      <c r="G68" s="46" t="s">
        <v>10</v>
      </c>
      <c r="H68" s="48" t="s">
        <v>856</v>
      </c>
    </row>
    <row r="69" customFormat="false" ht="37.3" hidden="false" customHeight="false" outlineLevel="0" collapsed="false">
      <c r="A69" s="46" t="s">
        <v>38</v>
      </c>
      <c r="B69" s="46" t="s">
        <v>155</v>
      </c>
      <c r="C69" s="47" t="s">
        <v>545</v>
      </c>
      <c r="D69" s="47" t="s">
        <v>557</v>
      </c>
      <c r="E69" s="48" t="s">
        <v>888</v>
      </c>
      <c r="F69" s="48" t="s">
        <v>888</v>
      </c>
      <c r="G69" s="46" t="s">
        <v>10</v>
      </c>
      <c r="H69" s="48" t="s">
        <v>856</v>
      </c>
    </row>
    <row r="70" customFormat="false" ht="37.3" hidden="false" customHeight="false" outlineLevel="0" collapsed="false">
      <c r="A70" s="46" t="s">
        <v>38</v>
      </c>
      <c r="B70" s="46" t="s">
        <v>157</v>
      </c>
      <c r="C70" s="47" t="s">
        <v>545</v>
      </c>
      <c r="D70" s="47" t="s">
        <v>562</v>
      </c>
      <c r="E70" s="48" t="s">
        <v>889</v>
      </c>
      <c r="F70" s="48" t="s">
        <v>889</v>
      </c>
      <c r="G70" s="46" t="s">
        <v>10</v>
      </c>
      <c r="H70" s="48" t="s">
        <v>856</v>
      </c>
    </row>
    <row r="71" customFormat="false" ht="37.3" hidden="false" customHeight="false" outlineLevel="0" collapsed="false">
      <c r="A71" s="46" t="s">
        <v>38</v>
      </c>
      <c r="B71" s="46" t="s">
        <v>159</v>
      </c>
      <c r="C71" s="47" t="s">
        <v>545</v>
      </c>
      <c r="D71" s="47" t="s">
        <v>890</v>
      </c>
      <c r="E71" s="48" t="s">
        <v>879</v>
      </c>
      <c r="F71" s="48" t="s">
        <v>879</v>
      </c>
      <c r="G71" s="46" t="s">
        <v>10</v>
      </c>
      <c r="H71" s="48" t="s">
        <v>856</v>
      </c>
    </row>
    <row r="72" customFormat="false" ht="37.3" hidden="false" customHeight="false" outlineLevel="0" collapsed="false">
      <c r="A72" s="46" t="s">
        <v>38</v>
      </c>
      <c r="B72" s="46" t="s">
        <v>160</v>
      </c>
      <c r="C72" s="47" t="s">
        <v>545</v>
      </c>
      <c r="D72" s="47" t="s">
        <v>891</v>
      </c>
      <c r="E72" s="48" t="s">
        <v>879</v>
      </c>
      <c r="F72" s="48" t="s">
        <v>879</v>
      </c>
      <c r="G72" s="46" t="s">
        <v>10</v>
      </c>
      <c r="H72" s="48" t="s">
        <v>856</v>
      </c>
    </row>
    <row r="73" customFormat="false" ht="37.3" hidden="false" customHeight="false" outlineLevel="0" collapsed="false">
      <c r="A73" s="46" t="s">
        <v>38</v>
      </c>
      <c r="B73" s="46" t="s">
        <v>161</v>
      </c>
      <c r="C73" s="47" t="s">
        <v>545</v>
      </c>
      <c r="D73" s="47" t="s">
        <v>880</v>
      </c>
      <c r="E73" s="48" t="s">
        <v>879</v>
      </c>
      <c r="F73" s="48" t="s">
        <v>879</v>
      </c>
      <c r="G73" s="46" t="s">
        <v>10</v>
      </c>
      <c r="H73" s="48" t="s">
        <v>856</v>
      </c>
    </row>
    <row r="74" customFormat="false" ht="37.3" hidden="false" customHeight="false" outlineLevel="0" collapsed="false">
      <c r="A74" s="46" t="s">
        <v>38</v>
      </c>
      <c r="B74" s="46" t="s">
        <v>162</v>
      </c>
      <c r="C74" s="47" t="s">
        <v>545</v>
      </c>
      <c r="D74" s="47" t="s">
        <v>892</v>
      </c>
      <c r="E74" s="48" t="s">
        <v>879</v>
      </c>
      <c r="F74" s="48" t="s">
        <v>879</v>
      </c>
      <c r="G74" s="46" t="s">
        <v>10</v>
      </c>
      <c r="H74" s="48" t="s">
        <v>856</v>
      </c>
    </row>
    <row r="75" customFormat="false" ht="37.3" hidden="false" customHeight="false" outlineLevel="0" collapsed="false">
      <c r="A75" s="46" t="s">
        <v>38</v>
      </c>
      <c r="B75" s="46" t="s">
        <v>163</v>
      </c>
      <c r="C75" s="47" t="s">
        <v>545</v>
      </c>
      <c r="D75" s="47" t="s">
        <v>893</v>
      </c>
      <c r="E75" s="48" t="s">
        <v>879</v>
      </c>
      <c r="F75" s="48" t="s">
        <v>879</v>
      </c>
      <c r="G75" s="46" t="s">
        <v>10</v>
      </c>
      <c r="H75" s="48" t="s">
        <v>856</v>
      </c>
    </row>
    <row r="76" customFormat="false" ht="37.3" hidden="false" customHeight="false" outlineLevel="0" collapsed="false">
      <c r="A76" s="46" t="s">
        <v>38</v>
      </c>
      <c r="B76" s="46" t="s">
        <v>164</v>
      </c>
      <c r="C76" s="47" t="s">
        <v>545</v>
      </c>
      <c r="D76" s="47" t="s">
        <v>894</v>
      </c>
      <c r="E76" s="48" t="s">
        <v>879</v>
      </c>
      <c r="F76" s="48" t="s">
        <v>879</v>
      </c>
      <c r="G76" s="46" t="s">
        <v>10</v>
      </c>
      <c r="H76" s="48" t="s">
        <v>856</v>
      </c>
    </row>
    <row r="77" customFormat="false" ht="37.3" hidden="false" customHeight="false" outlineLevel="0" collapsed="false">
      <c r="A77" s="46" t="s">
        <v>38</v>
      </c>
      <c r="B77" s="46" t="s">
        <v>165</v>
      </c>
      <c r="C77" s="47" t="s">
        <v>545</v>
      </c>
      <c r="D77" s="47" t="s">
        <v>895</v>
      </c>
      <c r="E77" s="48" t="s">
        <v>879</v>
      </c>
      <c r="F77" s="48" t="s">
        <v>879</v>
      </c>
      <c r="G77" s="46" t="s">
        <v>10</v>
      </c>
      <c r="H77" s="48" t="s">
        <v>856</v>
      </c>
    </row>
    <row r="78" customFormat="false" ht="37.3" hidden="false" customHeight="false" outlineLevel="0" collapsed="false">
      <c r="A78" s="46" t="s">
        <v>38</v>
      </c>
      <c r="B78" s="46" t="s">
        <v>166</v>
      </c>
      <c r="C78" s="47" t="s">
        <v>545</v>
      </c>
      <c r="D78" s="47" t="s">
        <v>881</v>
      </c>
      <c r="E78" s="48" t="s">
        <v>879</v>
      </c>
      <c r="F78" s="48" t="s">
        <v>879</v>
      </c>
      <c r="G78" s="46" t="s">
        <v>10</v>
      </c>
      <c r="H78" s="48" t="s">
        <v>856</v>
      </c>
    </row>
    <row r="79" customFormat="false" ht="37.3" hidden="false" customHeight="false" outlineLevel="0" collapsed="false">
      <c r="A79" s="46" t="s">
        <v>38</v>
      </c>
      <c r="B79" s="46" t="s">
        <v>167</v>
      </c>
      <c r="C79" s="47" t="s">
        <v>545</v>
      </c>
      <c r="D79" s="47" t="s">
        <v>896</v>
      </c>
      <c r="E79" s="48" t="s">
        <v>879</v>
      </c>
      <c r="F79" s="48" t="s">
        <v>879</v>
      </c>
      <c r="G79" s="46" t="s">
        <v>10</v>
      </c>
      <c r="H79" s="48" t="s">
        <v>856</v>
      </c>
    </row>
    <row r="80" customFormat="false" ht="37.3" hidden="false" customHeight="false" outlineLevel="0" collapsed="false">
      <c r="A80" s="46" t="s">
        <v>38</v>
      </c>
      <c r="B80" s="46" t="s">
        <v>168</v>
      </c>
      <c r="C80" s="47" t="s">
        <v>545</v>
      </c>
      <c r="D80" s="47" t="s">
        <v>897</v>
      </c>
      <c r="E80" s="48" t="s">
        <v>879</v>
      </c>
      <c r="F80" s="48" t="s">
        <v>879</v>
      </c>
      <c r="G80" s="46" t="s">
        <v>10</v>
      </c>
      <c r="H80" s="48" t="s">
        <v>856</v>
      </c>
    </row>
    <row r="81" customFormat="false" ht="37.3" hidden="false" customHeight="false" outlineLevel="0" collapsed="false">
      <c r="A81" s="46" t="s">
        <v>38</v>
      </c>
      <c r="B81" s="46" t="s">
        <v>169</v>
      </c>
      <c r="C81" s="47" t="s">
        <v>545</v>
      </c>
      <c r="D81" s="47" t="s">
        <v>884</v>
      </c>
      <c r="E81" s="48" t="s">
        <v>879</v>
      </c>
      <c r="F81" s="48" t="s">
        <v>879</v>
      </c>
      <c r="G81" s="46" t="s">
        <v>10</v>
      </c>
      <c r="H81" s="48" t="s">
        <v>856</v>
      </c>
    </row>
    <row r="82" customFormat="false" ht="37.3" hidden="false" customHeight="false" outlineLevel="0" collapsed="false">
      <c r="A82" s="46" t="s">
        <v>38</v>
      </c>
      <c r="B82" s="46" t="s">
        <v>170</v>
      </c>
      <c r="C82" s="47" t="s">
        <v>545</v>
      </c>
      <c r="D82" s="47" t="s">
        <v>885</v>
      </c>
      <c r="E82" s="48" t="s">
        <v>879</v>
      </c>
      <c r="F82" s="48" t="s">
        <v>879</v>
      </c>
      <c r="G82" s="46" t="s">
        <v>10</v>
      </c>
      <c r="H82" s="48" t="s">
        <v>856</v>
      </c>
    </row>
    <row r="83" customFormat="false" ht="37.3" hidden="false" customHeight="false" outlineLevel="0" collapsed="false">
      <c r="A83" s="46" t="s">
        <v>38</v>
      </c>
      <c r="B83" s="46" t="s">
        <v>171</v>
      </c>
      <c r="C83" s="47" t="s">
        <v>545</v>
      </c>
      <c r="D83" s="47" t="s">
        <v>546</v>
      </c>
      <c r="E83" s="48" t="s">
        <v>879</v>
      </c>
      <c r="F83" s="48" t="s">
        <v>879</v>
      </c>
      <c r="G83" s="46" t="s">
        <v>10</v>
      </c>
      <c r="H83" s="48" t="s">
        <v>856</v>
      </c>
    </row>
    <row r="84" customFormat="false" ht="37.3" hidden="false" customHeight="false" outlineLevel="0" collapsed="false">
      <c r="A84" s="46" t="s">
        <v>38</v>
      </c>
      <c r="B84" s="46" t="s">
        <v>172</v>
      </c>
      <c r="C84" s="47" t="s">
        <v>545</v>
      </c>
      <c r="D84" s="47" t="s">
        <v>886</v>
      </c>
      <c r="E84" s="48" t="s">
        <v>879</v>
      </c>
      <c r="F84" s="48" t="s">
        <v>879</v>
      </c>
      <c r="G84" s="46" t="s">
        <v>10</v>
      </c>
      <c r="H84" s="48" t="s">
        <v>856</v>
      </c>
    </row>
    <row r="85" customFormat="false" ht="37.3" hidden="false" customHeight="false" outlineLevel="0" collapsed="false">
      <c r="A85" s="46" t="s">
        <v>38</v>
      </c>
      <c r="B85" s="46" t="s">
        <v>173</v>
      </c>
      <c r="C85" s="47" t="s">
        <v>545</v>
      </c>
      <c r="D85" s="47" t="s">
        <v>887</v>
      </c>
      <c r="E85" s="48" t="s">
        <v>879</v>
      </c>
      <c r="F85" s="48" t="s">
        <v>879</v>
      </c>
      <c r="G85" s="46" t="s">
        <v>10</v>
      </c>
      <c r="H85" s="48" t="s">
        <v>856</v>
      </c>
    </row>
    <row r="86" customFormat="false" ht="37.3" hidden="false" customHeight="false" outlineLevel="0" collapsed="false">
      <c r="A86" s="46" t="s">
        <v>38</v>
      </c>
      <c r="B86" s="46" t="s">
        <v>174</v>
      </c>
      <c r="C86" s="47" t="s">
        <v>545</v>
      </c>
      <c r="D86" s="47" t="s">
        <v>898</v>
      </c>
      <c r="E86" s="48" t="s">
        <v>879</v>
      </c>
      <c r="F86" s="48" t="s">
        <v>879</v>
      </c>
      <c r="G86" s="46" t="s">
        <v>10</v>
      </c>
      <c r="H86" s="48" t="s">
        <v>856</v>
      </c>
    </row>
    <row r="87" customFormat="false" ht="37.3" hidden="false" customHeight="false" outlineLevel="0" collapsed="false">
      <c r="A87" s="46" t="s">
        <v>38</v>
      </c>
      <c r="B87" s="46" t="s">
        <v>175</v>
      </c>
      <c r="C87" s="47" t="s">
        <v>545</v>
      </c>
      <c r="D87" s="47" t="s">
        <v>899</v>
      </c>
      <c r="E87" s="48" t="s">
        <v>879</v>
      </c>
      <c r="F87" s="48" t="s">
        <v>879</v>
      </c>
      <c r="G87" s="46" t="s">
        <v>10</v>
      </c>
      <c r="H87" s="48" t="s">
        <v>856</v>
      </c>
    </row>
    <row r="88" customFormat="false" ht="37.3" hidden="false" customHeight="false" outlineLevel="0" collapsed="false">
      <c r="A88" s="46" t="s">
        <v>38</v>
      </c>
      <c r="B88" s="46" t="s">
        <v>176</v>
      </c>
      <c r="C88" s="47" t="s">
        <v>545</v>
      </c>
      <c r="D88" s="47" t="s">
        <v>882</v>
      </c>
      <c r="E88" s="48" t="s">
        <v>879</v>
      </c>
      <c r="F88" s="48" t="s">
        <v>879</v>
      </c>
      <c r="G88" s="46" t="s">
        <v>10</v>
      </c>
      <c r="H88" s="48" t="s">
        <v>856</v>
      </c>
    </row>
    <row r="89" customFormat="false" ht="37.3" hidden="false" customHeight="false" outlineLevel="0" collapsed="false">
      <c r="A89" s="46" t="s">
        <v>38</v>
      </c>
      <c r="B89" s="46" t="s">
        <v>177</v>
      </c>
      <c r="C89" s="47" t="s">
        <v>545</v>
      </c>
      <c r="D89" s="47" t="s">
        <v>900</v>
      </c>
      <c r="E89" s="48" t="s">
        <v>879</v>
      </c>
      <c r="F89" s="48" t="s">
        <v>879</v>
      </c>
      <c r="G89" s="46" t="s">
        <v>10</v>
      </c>
      <c r="H89" s="48" t="s">
        <v>856</v>
      </c>
    </row>
    <row r="90" customFormat="false" ht="37.3" hidden="false" customHeight="false" outlineLevel="0" collapsed="false">
      <c r="A90" s="46" t="s">
        <v>38</v>
      </c>
      <c r="B90" s="46" t="s">
        <v>178</v>
      </c>
      <c r="C90" s="47" t="s">
        <v>545</v>
      </c>
      <c r="D90" s="47" t="s">
        <v>901</v>
      </c>
      <c r="E90" s="48" t="s">
        <v>879</v>
      </c>
      <c r="F90" s="48" t="s">
        <v>879</v>
      </c>
      <c r="G90" s="46" t="s">
        <v>10</v>
      </c>
      <c r="H90" s="48" t="s">
        <v>856</v>
      </c>
    </row>
    <row r="91" customFormat="false" ht="37.3" hidden="false" customHeight="false" outlineLevel="0" collapsed="false">
      <c r="A91" s="46" t="s">
        <v>38</v>
      </c>
      <c r="B91" s="46" t="s">
        <v>179</v>
      </c>
      <c r="C91" s="47" t="s">
        <v>545</v>
      </c>
      <c r="D91" s="47" t="s">
        <v>902</v>
      </c>
      <c r="E91" s="48" t="s">
        <v>879</v>
      </c>
      <c r="F91" s="48" t="s">
        <v>879</v>
      </c>
      <c r="G91" s="46" t="s">
        <v>10</v>
      </c>
      <c r="H91" s="48" t="s">
        <v>856</v>
      </c>
    </row>
    <row r="92" customFormat="false" ht="37.3" hidden="false" customHeight="false" outlineLevel="0" collapsed="false">
      <c r="A92" s="46" t="s">
        <v>38</v>
      </c>
      <c r="B92" s="46" t="s">
        <v>180</v>
      </c>
      <c r="C92" s="47" t="s">
        <v>545</v>
      </c>
      <c r="D92" s="47" t="s">
        <v>903</v>
      </c>
      <c r="E92" s="48" t="s">
        <v>879</v>
      </c>
      <c r="F92" s="48" t="s">
        <v>879</v>
      </c>
      <c r="G92" s="46" t="s">
        <v>10</v>
      </c>
      <c r="H92" s="48" t="s">
        <v>856</v>
      </c>
    </row>
    <row r="93" customFormat="false" ht="37.3" hidden="false" customHeight="false" outlineLevel="0" collapsed="false">
      <c r="A93" s="46" t="s">
        <v>38</v>
      </c>
      <c r="B93" s="46" t="s">
        <v>181</v>
      </c>
      <c r="C93" s="47" t="s">
        <v>545</v>
      </c>
      <c r="D93" s="47" t="s">
        <v>883</v>
      </c>
      <c r="E93" s="48" t="s">
        <v>879</v>
      </c>
      <c r="F93" s="48" t="s">
        <v>879</v>
      </c>
      <c r="G93" s="46" t="s">
        <v>10</v>
      </c>
      <c r="H93" s="48" t="s">
        <v>856</v>
      </c>
    </row>
    <row r="94" customFormat="false" ht="37.3" hidden="false" customHeight="false" outlineLevel="0" collapsed="false">
      <c r="A94" s="46" t="s">
        <v>38</v>
      </c>
      <c r="B94" s="46" t="s">
        <v>182</v>
      </c>
      <c r="C94" s="47" t="s">
        <v>545</v>
      </c>
      <c r="D94" s="47" t="s">
        <v>904</v>
      </c>
      <c r="E94" s="48" t="s">
        <v>879</v>
      </c>
      <c r="F94" s="48" t="s">
        <v>879</v>
      </c>
      <c r="G94" s="46" t="s">
        <v>10</v>
      </c>
      <c r="H94" s="48" t="s">
        <v>856</v>
      </c>
    </row>
    <row r="95" customFormat="false" ht="37.3" hidden="false" customHeight="false" outlineLevel="0" collapsed="false">
      <c r="A95" s="46" t="s">
        <v>38</v>
      </c>
      <c r="B95" s="46" t="s">
        <v>183</v>
      </c>
      <c r="C95" s="47" t="s">
        <v>545</v>
      </c>
      <c r="D95" s="47" t="s">
        <v>905</v>
      </c>
      <c r="E95" s="48" t="s">
        <v>879</v>
      </c>
      <c r="F95" s="48" t="s">
        <v>879</v>
      </c>
      <c r="G95" s="46" t="s">
        <v>10</v>
      </c>
      <c r="H95" s="48" t="s">
        <v>856</v>
      </c>
    </row>
    <row r="96" customFormat="false" ht="37.3" hidden="false" customHeight="false" outlineLevel="0" collapsed="false">
      <c r="A96" s="46" t="s">
        <v>38</v>
      </c>
      <c r="B96" s="46" t="s">
        <v>185</v>
      </c>
      <c r="C96" s="47" t="s">
        <v>545</v>
      </c>
      <c r="D96" s="47" t="s">
        <v>906</v>
      </c>
      <c r="E96" s="48" t="s">
        <v>888</v>
      </c>
      <c r="F96" s="48" t="s">
        <v>888</v>
      </c>
      <c r="G96" s="46" t="s">
        <v>10</v>
      </c>
      <c r="H96" s="48" t="s">
        <v>856</v>
      </c>
    </row>
    <row r="97" customFormat="false" ht="37.3" hidden="false" customHeight="false" outlineLevel="0" collapsed="false">
      <c r="A97" s="46" t="s">
        <v>38</v>
      </c>
      <c r="B97" s="46" t="s">
        <v>186</v>
      </c>
      <c r="C97" s="47" t="s">
        <v>545</v>
      </c>
      <c r="D97" s="47" t="s">
        <v>907</v>
      </c>
      <c r="E97" s="48" t="s">
        <v>888</v>
      </c>
      <c r="F97" s="48" t="s">
        <v>888</v>
      </c>
      <c r="G97" s="46" t="s">
        <v>10</v>
      </c>
      <c r="H97" s="48" t="s">
        <v>856</v>
      </c>
    </row>
    <row r="98" customFormat="false" ht="37.3" hidden="false" customHeight="false" outlineLevel="0" collapsed="false">
      <c r="A98" s="46" t="s">
        <v>38</v>
      </c>
      <c r="B98" s="46" t="s">
        <v>187</v>
      </c>
      <c r="C98" s="47" t="s">
        <v>545</v>
      </c>
      <c r="D98" s="47" t="s">
        <v>908</v>
      </c>
      <c r="E98" s="48" t="s">
        <v>888</v>
      </c>
      <c r="F98" s="48" t="s">
        <v>888</v>
      </c>
      <c r="G98" s="46" t="s">
        <v>10</v>
      </c>
      <c r="H98" s="48" t="s">
        <v>856</v>
      </c>
    </row>
    <row r="99" customFormat="false" ht="37.3" hidden="false" customHeight="false" outlineLevel="0" collapsed="false">
      <c r="A99" s="46" t="s">
        <v>38</v>
      </c>
      <c r="B99" s="46" t="s">
        <v>188</v>
      </c>
      <c r="C99" s="47" t="s">
        <v>545</v>
      </c>
      <c r="D99" s="47" t="s">
        <v>552</v>
      </c>
      <c r="E99" s="48" t="s">
        <v>888</v>
      </c>
      <c r="F99" s="48" t="s">
        <v>888</v>
      </c>
      <c r="G99" s="46" t="s">
        <v>10</v>
      </c>
      <c r="H99" s="48" t="s">
        <v>856</v>
      </c>
    </row>
    <row r="100" customFormat="false" ht="37.3" hidden="false" customHeight="false" outlineLevel="0" collapsed="false">
      <c r="A100" s="46" t="s">
        <v>38</v>
      </c>
      <c r="B100" s="46" t="s">
        <v>189</v>
      </c>
      <c r="C100" s="47" t="s">
        <v>545</v>
      </c>
      <c r="D100" s="47" t="s">
        <v>909</v>
      </c>
      <c r="E100" s="48" t="s">
        <v>888</v>
      </c>
      <c r="F100" s="48" t="s">
        <v>888</v>
      </c>
      <c r="G100" s="46" t="s">
        <v>10</v>
      </c>
      <c r="H100" s="48" t="s">
        <v>856</v>
      </c>
    </row>
    <row r="101" customFormat="false" ht="37.3" hidden="false" customHeight="false" outlineLevel="0" collapsed="false">
      <c r="A101" s="46" t="s">
        <v>38</v>
      </c>
      <c r="B101" s="46" t="s">
        <v>190</v>
      </c>
      <c r="C101" s="47" t="s">
        <v>545</v>
      </c>
      <c r="D101" s="47" t="s">
        <v>910</v>
      </c>
      <c r="E101" s="48" t="s">
        <v>888</v>
      </c>
      <c r="F101" s="48" t="s">
        <v>888</v>
      </c>
      <c r="G101" s="46" t="s">
        <v>10</v>
      </c>
      <c r="H101" s="48" t="s">
        <v>856</v>
      </c>
    </row>
    <row r="102" customFormat="false" ht="37.3" hidden="false" customHeight="false" outlineLevel="0" collapsed="false">
      <c r="A102" s="46" t="s">
        <v>38</v>
      </c>
      <c r="B102" s="46" t="s">
        <v>191</v>
      </c>
      <c r="C102" s="47" t="s">
        <v>545</v>
      </c>
      <c r="D102" s="47" t="s">
        <v>911</v>
      </c>
      <c r="E102" s="48" t="s">
        <v>889</v>
      </c>
      <c r="F102" s="48" t="s">
        <v>889</v>
      </c>
      <c r="G102" s="46" t="s">
        <v>10</v>
      </c>
      <c r="H102" s="48" t="s">
        <v>856</v>
      </c>
    </row>
    <row r="103" customFormat="false" ht="37.3" hidden="false" customHeight="false" outlineLevel="0" collapsed="false">
      <c r="A103" s="46" t="s">
        <v>38</v>
      </c>
      <c r="B103" s="46" t="s">
        <v>192</v>
      </c>
      <c r="C103" s="47" t="s">
        <v>545</v>
      </c>
      <c r="D103" s="47" t="s">
        <v>890</v>
      </c>
      <c r="E103" s="48" t="s">
        <v>879</v>
      </c>
      <c r="F103" s="48" t="s">
        <v>879</v>
      </c>
      <c r="G103" s="46" t="s">
        <v>10</v>
      </c>
      <c r="H103" s="48" t="s">
        <v>856</v>
      </c>
    </row>
    <row r="104" customFormat="false" ht="37.3" hidden="false" customHeight="false" outlineLevel="0" collapsed="false">
      <c r="A104" s="46" t="s">
        <v>38</v>
      </c>
      <c r="B104" s="46" t="s">
        <v>193</v>
      </c>
      <c r="C104" s="47" t="s">
        <v>545</v>
      </c>
      <c r="D104" s="47" t="s">
        <v>891</v>
      </c>
      <c r="E104" s="48" t="s">
        <v>879</v>
      </c>
      <c r="F104" s="48" t="s">
        <v>879</v>
      </c>
      <c r="G104" s="46" t="s">
        <v>10</v>
      </c>
      <c r="H104" s="48" t="s">
        <v>856</v>
      </c>
    </row>
    <row r="105" customFormat="false" ht="37.3" hidden="false" customHeight="false" outlineLevel="0" collapsed="false">
      <c r="A105" s="46" t="s">
        <v>38</v>
      </c>
      <c r="B105" s="46" t="s">
        <v>194</v>
      </c>
      <c r="C105" s="47" t="s">
        <v>545</v>
      </c>
      <c r="D105" s="47" t="s">
        <v>880</v>
      </c>
      <c r="E105" s="48" t="s">
        <v>879</v>
      </c>
      <c r="F105" s="48" t="s">
        <v>879</v>
      </c>
      <c r="G105" s="46" t="s">
        <v>10</v>
      </c>
      <c r="H105" s="48" t="s">
        <v>856</v>
      </c>
    </row>
    <row r="106" customFormat="false" ht="37.3" hidden="false" customHeight="false" outlineLevel="0" collapsed="false">
      <c r="A106" s="46" t="s">
        <v>38</v>
      </c>
      <c r="B106" s="46" t="s">
        <v>195</v>
      </c>
      <c r="C106" s="47" t="s">
        <v>545</v>
      </c>
      <c r="D106" s="47" t="s">
        <v>892</v>
      </c>
      <c r="E106" s="48" t="s">
        <v>879</v>
      </c>
      <c r="F106" s="48" t="s">
        <v>879</v>
      </c>
      <c r="G106" s="46" t="s">
        <v>10</v>
      </c>
      <c r="H106" s="48" t="s">
        <v>856</v>
      </c>
    </row>
    <row r="107" customFormat="false" ht="37.3" hidden="false" customHeight="false" outlineLevel="0" collapsed="false">
      <c r="A107" s="46" t="s">
        <v>38</v>
      </c>
      <c r="B107" s="46" t="s">
        <v>196</v>
      </c>
      <c r="C107" s="47" t="s">
        <v>545</v>
      </c>
      <c r="D107" s="47" t="s">
        <v>893</v>
      </c>
      <c r="E107" s="48" t="s">
        <v>879</v>
      </c>
      <c r="F107" s="48" t="s">
        <v>879</v>
      </c>
      <c r="G107" s="46" t="s">
        <v>10</v>
      </c>
      <c r="H107" s="48" t="s">
        <v>856</v>
      </c>
    </row>
    <row r="108" customFormat="false" ht="37.3" hidden="false" customHeight="false" outlineLevel="0" collapsed="false">
      <c r="A108" s="46" t="s">
        <v>38</v>
      </c>
      <c r="B108" s="46" t="s">
        <v>197</v>
      </c>
      <c r="C108" s="47" t="s">
        <v>545</v>
      </c>
      <c r="D108" s="47" t="s">
        <v>912</v>
      </c>
      <c r="E108" s="48" t="s">
        <v>889</v>
      </c>
      <c r="F108" s="48" t="s">
        <v>889</v>
      </c>
      <c r="G108" s="46" t="s">
        <v>10</v>
      </c>
      <c r="H108" s="48" t="s">
        <v>856</v>
      </c>
    </row>
    <row r="109" customFormat="false" ht="37.3" hidden="false" customHeight="false" outlineLevel="0" collapsed="false">
      <c r="A109" s="46" t="s">
        <v>38</v>
      </c>
      <c r="B109" s="46" t="s">
        <v>198</v>
      </c>
      <c r="C109" s="47" t="s">
        <v>545</v>
      </c>
      <c r="D109" s="47" t="s">
        <v>894</v>
      </c>
      <c r="E109" s="48" t="s">
        <v>879</v>
      </c>
      <c r="F109" s="48" t="s">
        <v>879</v>
      </c>
      <c r="G109" s="46" t="s">
        <v>10</v>
      </c>
      <c r="H109" s="48" t="s">
        <v>856</v>
      </c>
    </row>
    <row r="110" customFormat="false" ht="37.3" hidden="false" customHeight="false" outlineLevel="0" collapsed="false">
      <c r="A110" s="46" t="s">
        <v>38</v>
      </c>
      <c r="B110" s="46" t="s">
        <v>199</v>
      </c>
      <c r="C110" s="47" t="s">
        <v>545</v>
      </c>
      <c r="D110" s="47" t="s">
        <v>895</v>
      </c>
      <c r="E110" s="48" t="s">
        <v>879</v>
      </c>
      <c r="F110" s="48" t="s">
        <v>879</v>
      </c>
      <c r="G110" s="46" t="s">
        <v>10</v>
      </c>
      <c r="H110" s="48" t="s">
        <v>856</v>
      </c>
    </row>
    <row r="111" customFormat="false" ht="37.3" hidden="false" customHeight="false" outlineLevel="0" collapsed="false">
      <c r="A111" s="46" t="s">
        <v>38</v>
      </c>
      <c r="B111" s="46" t="s">
        <v>200</v>
      </c>
      <c r="C111" s="47" t="s">
        <v>545</v>
      </c>
      <c r="D111" s="47" t="s">
        <v>881</v>
      </c>
      <c r="E111" s="48" t="s">
        <v>879</v>
      </c>
      <c r="F111" s="48" t="s">
        <v>879</v>
      </c>
      <c r="G111" s="46" t="s">
        <v>10</v>
      </c>
      <c r="H111" s="48" t="s">
        <v>856</v>
      </c>
    </row>
    <row r="112" customFormat="false" ht="37.3" hidden="false" customHeight="false" outlineLevel="0" collapsed="false">
      <c r="A112" s="46" t="s">
        <v>38</v>
      </c>
      <c r="B112" s="46" t="s">
        <v>201</v>
      </c>
      <c r="C112" s="47" t="s">
        <v>545</v>
      </c>
      <c r="D112" s="47" t="s">
        <v>896</v>
      </c>
      <c r="E112" s="48" t="s">
        <v>879</v>
      </c>
      <c r="F112" s="48" t="s">
        <v>879</v>
      </c>
      <c r="G112" s="46" t="s">
        <v>10</v>
      </c>
      <c r="H112" s="48" t="s">
        <v>856</v>
      </c>
    </row>
    <row r="113" customFormat="false" ht="37.3" hidden="false" customHeight="false" outlineLevel="0" collapsed="false">
      <c r="A113" s="46" t="s">
        <v>38</v>
      </c>
      <c r="B113" s="46" t="s">
        <v>202</v>
      </c>
      <c r="C113" s="47" t="s">
        <v>545</v>
      </c>
      <c r="D113" s="47" t="s">
        <v>897</v>
      </c>
      <c r="E113" s="48" t="s">
        <v>879</v>
      </c>
      <c r="F113" s="48" t="s">
        <v>879</v>
      </c>
      <c r="G113" s="46" t="s">
        <v>10</v>
      </c>
      <c r="H113" s="48" t="s">
        <v>856</v>
      </c>
    </row>
    <row r="114" customFormat="false" ht="37.3" hidden="false" customHeight="false" outlineLevel="0" collapsed="false">
      <c r="A114" s="46" t="s">
        <v>38</v>
      </c>
      <c r="B114" s="46" t="s">
        <v>203</v>
      </c>
      <c r="C114" s="47" t="s">
        <v>545</v>
      </c>
      <c r="D114" s="47" t="s">
        <v>562</v>
      </c>
      <c r="E114" s="48" t="s">
        <v>889</v>
      </c>
      <c r="F114" s="48" t="s">
        <v>889</v>
      </c>
      <c r="G114" s="46" t="s">
        <v>10</v>
      </c>
      <c r="H114" s="48" t="s">
        <v>856</v>
      </c>
    </row>
    <row r="115" customFormat="false" ht="37.3" hidden="false" customHeight="false" outlineLevel="0" collapsed="false">
      <c r="A115" s="46" t="s">
        <v>38</v>
      </c>
      <c r="B115" s="46" t="s">
        <v>204</v>
      </c>
      <c r="C115" s="47" t="s">
        <v>545</v>
      </c>
      <c r="D115" s="47" t="s">
        <v>884</v>
      </c>
      <c r="E115" s="48" t="s">
        <v>879</v>
      </c>
      <c r="F115" s="48" t="s">
        <v>879</v>
      </c>
      <c r="G115" s="46" t="s">
        <v>10</v>
      </c>
      <c r="H115" s="48" t="s">
        <v>856</v>
      </c>
    </row>
    <row r="116" customFormat="false" ht="37.3" hidden="false" customHeight="false" outlineLevel="0" collapsed="false">
      <c r="A116" s="46" t="s">
        <v>38</v>
      </c>
      <c r="B116" s="46" t="s">
        <v>205</v>
      </c>
      <c r="C116" s="47" t="s">
        <v>545</v>
      </c>
      <c r="D116" s="47" t="s">
        <v>885</v>
      </c>
      <c r="E116" s="48" t="s">
        <v>879</v>
      </c>
      <c r="F116" s="48" t="s">
        <v>879</v>
      </c>
      <c r="G116" s="46" t="s">
        <v>10</v>
      </c>
      <c r="H116" s="48" t="s">
        <v>856</v>
      </c>
    </row>
    <row r="117" customFormat="false" ht="37.3" hidden="false" customHeight="false" outlineLevel="0" collapsed="false">
      <c r="A117" s="46" t="s">
        <v>38</v>
      </c>
      <c r="B117" s="46" t="s">
        <v>206</v>
      </c>
      <c r="C117" s="47" t="s">
        <v>545</v>
      </c>
      <c r="D117" s="47" t="s">
        <v>546</v>
      </c>
      <c r="E117" s="48" t="s">
        <v>879</v>
      </c>
      <c r="F117" s="48" t="s">
        <v>879</v>
      </c>
      <c r="G117" s="46" t="s">
        <v>10</v>
      </c>
      <c r="H117" s="48" t="s">
        <v>856</v>
      </c>
    </row>
    <row r="118" customFormat="false" ht="37.3" hidden="false" customHeight="false" outlineLevel="0" collapsed="false">
      <c r="A118" s="46" t="s">
        <v>38</v>
      </c>
      <c r="B118" s="46" t="s">
        <v>207</v>
      </c>
      <c r="C118" s="47" t="s">
        <v>545</v>
      </c>
      <c r="D118" s="47" t="s">
        <v>886</v>
      </c>
      <c r="E118" s="48" t="s">
        <v>879</v>
      </c>
      <c r="F118" s="48" t="s">
        <v>879</v>
      </c>
      <c r="G118" s="46" t="s">
        <v>10</v>
      </c>
      <c r="H118" s="48" t="s">
        <v>856</v>
      </c>
    </row>
    <row r="119" customFormat="false" ht="37.3" hidden="false" customHeight="false" outlineLevel="0" collapsed="false">
      <c r="A119" s="46" t="s">
        <v>38</v>
      </c>
      <c r="B119" s="46" t="s">
        <v>208</v>
      </c>
      <c r="C119" s="47" t="s">
        <v>545</v>
      </c>
      <c r="D119" s="47" t="s">
        <v>887</v>
      </c>
      <c r="E119" s="48" t="s">
        <v>879</v>
      </c>
      <c r="F119" s="48" t="s">
        <v>879</v>
      </c>
      <c r="G119" s="46" t="s">
        <v>10</v>
      </c>
      <c r="H119" s="48" t="s">
        <v>856</v>
      </c>
    </row>
    <row r="120" customFormat="false" ht="37.3" hidden="false" customHeight="false" outlineLevel="0" collapsed="false">
      <c r="A120" s="46" t="s">
        <v>38</v>
      </c>
      <c r="B120" s="46" t="s">
        <v>209</v>
      </c>
      <c r="C120" s="47" t="s">
        <v>545</v>
      </c>
      <c r="D120" s="47" t="s">
        <v>913</v>
      </c>
      <c r="E120" s="48" t="s">
        <v>889</v>
      </c>
      <c r="F120" s="48" t="s">
        <v>889</v>
      </c>
      <c r="G120" s="46" t="s">
        <v>10</v>
      </c>
      <c r="H120" s="48" t="s">
        <v>856</v>
      </c>
    </row>
    <row r="121" customFormat="false" ht="37.3" hidden="false" customHeight="false" outlineLevel="0" collapsed="false">
      <c r="A121" s="46" t="s">
        <v>38</v>
      </c>
      <c r="B121" s="46" t="s">
        <v>210</v>
      </c>
      <c r="C121" s="47" t="s">
        <v>545</v>
      </c>
      <c r="D121" s="47" t="s">
        <v>898</v>
      </c>
      <c r="E121" s="48" t="s">
        <v>879</v>
      </c>
      <c r="F121" s="48" t="s">
        <v>879</v>
      </c>
      <c r="G121" s="46" t="s">
        <v>10</v>
      </c>
      <c r="H121" s="48" t="s">
        <v>856</v>
      </c>
    </row>
    <row r="122" customFormat="false" ht="37.3" hidden="false" customHeight="false" outlineLevel="0" collapsed="false">
      <c r="A122" s="46" t="s">
        <v>38</v>
      </c>
      <c r="B122" s="46" t="s">
        <v>211</v>
      </c>
      <c r="C122" s="47" t="s">
        <v>545</v>
      </c>
      <c r="D122" s="47" t="s">
        <v>899</v>
      </c>
      <c r="E122" s="48" t="s">
        <v>879</v>
      </c>
      <c r="F122" s="48" t="s">
        <v>879</v>
      </c>
      <c r="G122" s="46" t="s">
        <v>10</v>
      </c>
      <c r="H122" s="48" t="s">
        <v>856</v>
      </c>
    </row>
    <row r="123" customFormat="false" ht="37.3" hidden="false" customHeight="false" outlineLevel="0" collapsed="false">
      <c r="A123" s="46" t="s">
        <v>38</v>
      </c>
      <c r="B123" s="46" t="s">
        <v>212</v>
      </c>
      <c r="C123" s="47" t="s">
        <v>545</v>
      </c>
      <c r="D123" s="47" t="s">
        <v>882</v>
      </c>
      <c r="E123" s="48" t="s">
        <v>879</v>
      </c>
      <c r="F123" s="48" t="s">
        <v>879</v>
      </c>
      <c r="G123" s="46" t="s">
        <v>10</v>
      </c>
      <c r="H123" s="48" t="s">
        <v>856</v>
      </c>
    </row>
    <row r="124" customFormat="false" ht="37.3" hidden="false" customHeight="false" outlineLevel="0" collapsed="false">
      <c r="A124" s="46" t="s">
        <v>38</v>
      </c>
      <c r="B124" s="46" t="s">
        <v>213</v>
      </c>
      <c r="C124" s="47" t="s">
        <v>545</v>
      </c>
      <c r="D124" s="47" t="s">
        <v>900</v>
      </c>
      <c r="E124" s="48" t="s">
        <v>879</v>
      </c>
      <c r="F124" s="48" t="s">
        <v>879</v>
      </c>
      <c r="G124" s="46" t="s">
        <v>10</v>
      </c>
      <c r="H124" s="48" t="s">
        <v>856</v>
      </c>
    </row>
    <row r="125" customFormat="false" ht="37.3" hidden="false" customHeight="false" outlineLevel="0" collapsed="false">
      <c r="A125" s="46" t="s">
        <v>38</v>
      </c>
      <c r="B125" s="46" t="s">
        <v>214</v>
      </c>
      <c r="C125" s="47" t="s">
        <v>545</v>
      </c>
      <c r="D125" s="47" t="s">
        <v>901</v>
      </c>
      <c r="E125" s="48" t="s">
        <v>879</v>
      </c>
      <c r="F125" s="48" t="s">
        <v>879</v>
      </c>
      <c r="G125" s="46" t="s">
        <v>10</v>
      </c>
      <c r="H125" s="48" t="s">
        <v>856</v>
      </c>
    </row>
    <row r="126" customFormat="false" ht="37.3" hidden="false" customHeight="false" outlineLevel="0" collapsed="false">
      <c r="A126" s="46" t="s">
        <v>38</v>
      </c>
      <c r="B126" s="46" t="s">
        <v>215</v>
      </c>
      <c r="C126" s="47" t="s">
        <v>545</v>
      </c>
      <c r="D126" s="47" t="s">
        <v>914</v>
      </c>
      <c r="E126" s="48" t="s">
        <v>889</v>
      </c>
      <c r="F126" s="48" t="s">
        <v>889</v>
      </c>
      <c r="G126" s="46" t="s">
        <v>10</v>
      </c>
      <c r="H126" s="48" t="s">
        <v>856</v>
      </c>
    </row>
    <row r="127" customFormat="false" ht="37.3" hidden="false" customHeight="false" outlineLevel="0" collapsed="false">
      <c r="A127" s="46" t="s">
        <v>38</v>
      </c>
      <c r="B127" s="46" t="s">
        <v>216</v>
      </c>
      <c r="C127" s="47" t="s">
        <v>545</v>
      </c>
      <c r="D127" s="47" t="s">
        <v>902</v>
      </c>
      <c r="E127" s="48" t="s">
        <v>879</v>
      </c>
      <c r="F127" s="48" t="s">
        <v>879</v>
      </c>
      <c r="G127" s="46" t="s">
        <v>10</v>
      </c>
      <c r="H127" s="48" t="s">
        <v>856</v>
      </c>
    </row>
    <row r="128" customFormat="false" ht="37.3" hidden="false" customHeight="false" outlineLevel="0" collapsed="false">
      <c r="A128" s="46" t="s">
        <v>38</v>
      </c>
      <c r="B128" s="46" t="s">
        <v>217</v>
      </c>
      <c r="C128" s="47" t="s">
        <v>545</v>
      </c>
      <c r="D128" s="47" t="s">
        <v>903</v>
      </c>
      <c r="E128" s="48" t="s">
        <v>879</v>
      </c>
      <c r="F128" s="48" t="s">
        <v>879</v>
      </c>
      <c r="G128" s="46" t="s">
        <v>10</v>
      </c>
      <c r="H128" s="48" t="s">
        <v>856</v>
      </c>
    </row>
    <row r="129" customFormat="false" ht="37.3" hidden="false" customHeight="false" outlineLevel="0" collapsed="false">
      <c r="A129" s="46" t="s">
        <v>38</v>
      </c>
      <c r="B129" s="46" t="s">
        <v>218</v>
      </c>
      <c r="C129" s="47" t="s">
        <v>545</v>
      </c>
      <c r="D129" s="47" t="s">
        <v>883</v>
      </c>
      <c r="E129" s="48" t="s">
        <v>879</v>
      </c>
      <c r="F129" s="48" t="s">
        <v>879</v>
      </c>
      <c r="G129" s="46" t="s">
        <v>10</v>
      </c>
      <c r="H129" s="48" t="s">
        <v>856</v>
      </c>
    </row>
    <row r="130" customFormat="false" ht="37.3" hidden="false" customHeight="false" outlineLevel="0" collapsed="false">
      <c r="A130" s="46" t="s">
        <v>38</v>
      </c>
      <c r="B130" s="46" t="s">
        <v>219</v>
      </c>
      <c r="C130" s="47" t="s">
        <v>545</v>
      </c>
      <c r="D130" s="47" t="s">
        <v>904</v>
      </c>
      <c r="E130" s="48" t="s">
        <v>879</v>
      </c>
      <c r="F130" s="48" t="s">
        <v>879</v>
      </c>
      <c r="G130" s="46" t="s">
        <v>10</v>
      </c>
      <c r="H130" s="48" t="s">
        <v>856</v>
      </c>
    </row>
    <row r="131" customFormat="false" ht="37.3" hidden="false" customHeight="false" outlineLevel="0" collapsed="false">
      <c r="A131" s="46" t="s">
        <v>38</v>
      </c>
      <c r="B131" s="46" t="s">
        <v>220</v>
      </c>
      <c r="C131" s="47" t="s">
        <v>545</v>
      </c>
      <c r="D131" s="47" t="s">
        <v>905</v>
      </c>
      <c r="E131" s="48" t="s">
        <v>879</v>
      </c>
      <c r="F131" s="48" t="s">
        <v>879</v>
      </c>
      <c r="G131" s="46" t="s">
        <v>10</v>
      </c>
      <c r="H131" s="48" t="s">
        <v>856</v>
      </c>
    </row>
    <row r="132" customFormat="false" ht="37.3" hidden="false" customHeight="false" outlineLevel="0" collapsed="false">
      <c r="A132" s="46" t="s">
        <v>38</v>
      </c>
      <c r="B132" s="46" t="s">
        <v>221</v>
      </c>
      <c r="C132" s="47" t="s">
        <v>545</v>
      </c>
      <c r="D132" s="47" t="s">
        <v>915</v>
      </c>
      <c r="E132" s="48" t="s">
        <v>888</v>
      </c>
      <c r="F132" s="48" t="s">
        <v>888</v>
      </c>
      <c r="G132" s="46" t="s">
        <v>10</v>
      </c>
      <c r="H132" s="48" t="s">
        <v>856</v>
      </c>
    </row>
    <row r="133" customFormat="false" ht="37.3" hidden="false" customHeight="false" outlineLevel="0" collapsed="false">
      <c r="A133" s="46" t="s">
        <v>38</v>
      </c>
      <c r="B133" s="46" t="s">
        <v>222</v>
      </c>
      <c r="C133" s="47" t="s">
        <v>545</v>
      </c>
      <c r="D133" s="47" t="s">
        <v>916</v>
      </c>
      <c r="E133" s="48" t="s">
        <v>888</v>
      </c>
      <c r="F133" s="48" t="s">
        <v>888</v>
      </c>
      <c r="G133" s="46" t="s">
        <v>10</v>
      </c>
      <c r="H133" s="48" t="s">
        <v>856</v>
      </c>
    </row>
    <row r="134" customFormat="false" ht="37.3" hidden="false" customHeight="false" outlineLevel="0" collapsed="false">
      <c r="A134" s="46" t="s">
        <v>38</v>
      </c>
      <c r="B134" s="46" t="s">
        <v>223</v>
      </c>
      <c r="C134" s="47" t="s">
        <v>545</v>
      </c>
      <c r="D134" s="47" t="s">
        <v>917</v>
      </c>
      <c r="E134" s="48" t="s">
        <v>888</v>
      </c>
      <c r="F134" s="48" t="s">
        <v>888</v>
      </c>
      <c r="G134" s="46" t="s">
        <v>10</v>
      </c>
      <c r="H134" s="48" t="s">
        <v>856</v>
      </c>
    </row>
    <row r="135" customFormat="false" ht="37.3" hidden="false" customHeight="false" outlineLevel="0" collapsed="false">
      <c r="A135" s="46" t="s">
        <v>38</v>
      </c>
      <c r="B135" s="46" t="s">
        <v>224</v>
      </c>
      <c r="C135" s="47" t="s">
        <v>545</v>
      </c>
      <c r="D135" s="47" t="s">
        <v>557</v>
      </c>
      <c r="E135" s="48" t="s">
        <v>888</v>
      </c>
      <c r="F135" s="48" t="s">
        <v>888</v>
      </c>
      <c r="G135" s="46" t="s">
        <v>10</v>
      </c>
      <c r="H135" s="48" t="s">
        <v>856</v>
      </c>
    </row>
    <row r="136" customFormat="false" ht="37.3" hidden="false" customHeight="false" outlineLevel="0" collapsed="false">
      <c r="A136" s="46" t="s">
        <v>38</v>
      </c>
      <c r="B136" s="46" t="s">
        <v>225</v>
      </c>
      <c r="C136" s="47" t="s">
        <v>545</v>
      </c>
      <c r="D136" s="47" t="s">
        <v>918</v>
      </c>
      <c r="E136" s="48" t="s">
        <v>888</v>
      </c>
      <c r="F136" s="48" t="s">
        <v>888</v>
      </c>
      <c r="G136" s="46" t="s">
        <v>10</v>
      </c>
      <c r="H136" s="48" t="s">
        <v>856</v>
      </c>
    </row>
    <row r="137" customFormat="false" ht="37.3" hidden="false" customHeight="false" outlineLevel="0" collapsed="false">
      <c r="A137" s="46" t="s">
        <v>38</v>
      </c>
      <c r="B137" s="46" t="s">
        <v>226</v>
      </c>
      <c r="C137" s="47" t="s">
        <v>545</v>
      </c>
      <c r="D137" s="47" t="s">
        <v>919</v>
      </c>
      <c r="E137" s="48" t="s">
        <v>888</v>
      </c>
      <c r="F137" s="48" t="s">
        <v>888</v>
      </c>
      <c r="G137" s="46" t="s">
        <v>10</v>
      </c>
      <c r="H137" s="48" t="s">
        <v>856</v>
      </c>
    </row>
    <row r="138" customFormat="false" ht="37.3" hidden="false" customHeight="false" outlineLevel="0" collapsed="false">
      <c r="A138" s="46" t="s">
        <v>38</v>
      </c>
      <c r="B138" s="46" t="s">
        <v>229</v>
      </c>
      <c r="C138" s="47" t="s">
        <v>545</v>
      </c>
      <c r="D138" s="47" t="s">
        <v>920</v>
      </c>
      <c r="E138" s="48" t="s">
        <v>879</v>
      </c>
      <c r="F138" s="48" t="s">
        <v>879</v>
      </c>
      <c r="G138" s="46" t="s">
        <v>10</v>
      </c>
      <c r="H138" s="48" t="s">
        <v>856</v>
      </c>
    </row>
    <row r="139" customFormat="false" ht="37.3" hidden="false" customHeight="false" outlineLevel="0" collapsed="false">
      <c r="A139" s="46" t="s">
        <v>38</v>
      </c>
      <c r="B139" s="46" t="s">
        <v>232</v>
      </c>
      <c r="C139" s="47" t="s">
        <v>545</v>
      </c>
      <c r="D139" s="47" t="s">
        <v>921</v>
      </c>
      <c r="E139" s="48" t="s">
        <v>879</v>
      </c>
      <c r="F139" s="48" t="s">
        <v>879</v>
      </c>
      <c r="G139" s="46" t="s">
        <v>10</v>
      </c>
      <c r="H139" s="48" t="s">
        <v>856</v>
      </c>
    </row>
    <row r="140" customFormat="false" ht="37.3" hidden="false" customHeight="false" outlineLevel="0" collapsed="false">
      <c r="A140" s="46" t="s">
        <v>38</v>
      </c>
      <c r="B140" s="46" t="s">
        <v>233</v>
      </c>
      <c r="C140" s="47" t="s">
        <v>545</v>
      </c>
      <c r="D140" s="47" t="s">
        <v>922</v>
      </c>
      <c r="E140" s="48" t="s">
        <v>879</v>
      </c>
      <c r="F140" s="48" t="s">
        <v>879</v>
      </c>
      <c r="G140" s="46" t="s">
        <v>10</v>
      </c>
      <c r="H140" s="48" t="s">
        <v>856</v>
      </c>
    </row>
    <row r="141" customFormat="false" ht="37.3" hidden="false" customHeight="false" outlineLevel="0" collapsed="false">
      <c r="A141" s="46" t="s">
        <v>38</v>
      </c>
      <c r="B141" s="46" t="s">
        <v>234</v>
      </c>
      <c r="C141" s="47" t="s">
        <v>545</v>
      </c>
      <c r="D141" s="47" t="s">
        <v>923</v>
      </c>
      <c r="E141" s="48" t="s">
        <v>879</v>
      </c>
      <c r="F141" s="48" t="s">
        <v>879</v>
      </c>
      <c r="G141" s="46" t="s">
        <v>10</v>
      </c>
      <c r="H141" s="48" t="s">
        <v>856</v>
      </c>
    </row>
    <row r="142" customFormat="false" ht="37.3" hidden="false" customHeight="false" outlineLevel="0" collapsed="false">
      <c r="A142" s="46" t="s">
        <v>38</v>
      </c>
      <c r="B142" s="46" t="s">
        <v>235</v>
      </c>
      <c r="C142" s="47" t="s">
        <v>545</v>
      </c>
      <c r="D142" s="47" t="s">
        <v>924</v>
      </c>
      <c r="E142" s="48" t="s">
        <v>879</v>
      </c>
      <c r="F142" s="48" t="s">
        <v>879</v>
      </c>
      <c r="G142" s="46" t="s">
        <v>10</v>
      </c>
      <c r="H142" s="48" t="s">
        <v>856</v>
      </c>
    </row>
    <row r="143" customFormat="false" ht="37.3" hidden="false" customHeight="false" outlineLevel="0" collapsed="false">
      <c r="A143" s="46" t="s">
        <v>38</v>
      </c>
      <c r="B143" s="46" t="s">
        <v>236</v>
      </c>
      <c r="C143" s="47" t="s">
        <v>545</v>
      </c>
      <c r="D143" s="47" t="s">
        <v>925</v>
      </c>
      <c r="E143" s="48" t="s">
        <v>879</v>
      </c>
      <c r="F143" s="48" t="s">
        <v>879</v>
      </c>
      <c r="G143" s="46" t="s">
        <v>10</v>
      </c>
      <c r="H143" s="48" t="s">
        <v>856</v>
      </c>
    </row>
    <row r="144" customFormat="false" ht="37.3" hidden="false" customHeight="false" outlineLevel="0" collapsed="false">
      <c r="A144" s="46" t="s">
        <v>38</v>
      </c>
      <c r="B144" s="46" t="s">
        <v>238</v>
      </c>
      <c r="C144" s="47" t="s">
        <v>545</v>
      </c>
      <c r="D144" s="47" t="s">
        <v>926</v>
      </c>
      <c r="E144" s="48" t="s">
        <v>879</v>
      </c>
      <c r="F144" s="48" t="s">
        <v>879</v>
      </c>
      <c r="G144" s="46" t="s">
        <v>10</v>
      </c>
      <c r="H144" s="48" t="s">
        <v>856</v>
      </c>
    </row>
    <row r="145" customFormat="false" ht="55.2" hidden="false" customHeight="false" outlineLevel="0" collapsed="false">
      <c r="A145" s="46" t="s">
        <v>38</v>
      </c>
      <c r="B145" s="46" t="s">
        <v>240</v>
      </c>
      <c r="C145" s="47" t="s">
        <v>545</v>
      </c>
      <c r="D145" s="47" t="s">
        <v>927</v>
      </c>
      <c r="E145" s="48" t="s">
        <v>879</v>
      </c>
      <c r="F145" s="48" t="s">
        <v>879</v>
      </c>
      <c r="G145" s="46" t="s">
        <v>10</v>
      </c>
      <c r="H145" s="48" t="s">
        <v>856</v>
      </c>
    </row>
    <row r="146" customFormat="false" ht="55.2" hidden="false" customHeight="false" outlineLevel="0" collapsed="false">
      <c r="A146" s="46" t="s">
        <v>38</v>
      </c>
      <c r="B146" s="46" t="s">
        <v>241</v>
      </c>
      <c r="C146" s="47" t="s">
        <v>545</v>
      </c>
      <c r="D146" s="47" t="s">
        <v>928</v>
      </c>
      <c r="E146" s="48" t="s">
        <v>879</v>
      </c>
      <c r="F146" s="48" t="s">
        <v>879</v>
      </c>
      <c r="G146" s="46" t="s">
        <v>10</v>
      </c>
      <c r="H146" s="48" t="s">
        <v>856</v>
      </c>
    </row>
    <row r="147" customFormat="false" ht="37.3" hidden="false" customHeight="false" outlineLevel="0" collapsed="false">
      <c r="A147" s="46" t="s">
        <v>38</v>
      </c>
      <c r="B147" s="46" t="s">
        <v>242</v>
      </c>
      <c r="C147" s="47" t="s">
        <v>545</v>
      </c>
      <c r="D147" s="47" t="s">
        <v>920</v>
      </c>
      <c r="E147" s="48" t="s">
        <v>879</v>
      </c>
      <c r="F147" s="48" t="s">
        <v>879</v>
      </c>
      <c r="G147" s="46" t="s">
        <v>10</v>
      </c>
      <c r="H147" s="48" t="s">
        <v>856</v>
      </c>
    </row>
    <row r="148" customFormat="false" ht="37.3" hidden="false" customHeight="false" outlineLevel="0" collapsed="false">
      <c r="A148" s="46" t="s">
        <v>38</v>
      </c>
      <c r="B148" s="46" t="s">
        <v>243</v>
      </c>
      <c r="C148" s="47" t="s">
        <v>545</v>
      </c>
      <c r="D148" s="47" t="s">
        <v>921</v>
      </c>
      <c r="E148" s="48" t="s">
        <v>879</v>
      </c>
      <c r="F148" s="48" t="s">
        <v>879</v>
      </c>
      <c r="G148" s="46" t="s">
        <v>10</v>
      </c>
      <c r="H148" s="48" t="s">
        <v>856</v>
      </c>
    </row>
    <row r="149" customFormat="false" ht="37.3" hidden="false" customHeight="false" outlineLevel="0" collapsed="false">
      <c r="A149" s="46" t="s">
        <v>38</v>
      </c>
      <c r="B149" s="46" t="s">
        <v>244</v>
      </c>
      <c r="C149" s="47" t="s">
        <v>545</v>
      </c>
      <c r="D149" s="47" t="s">
        <v>922</v>
      </c>
      <c r="E149" s="48" t="s">
        <v>879</v>
      </c>
      <c r="F149" s="48" t="s">
        <v>879</v>
      </c>
      <c r="G149" s="46" t="s">
        <v>10</v>
      </c>
      <c r="H149" s="48" t="s">
        <v>856</v>
      </c>
    </row>
    <row r="150" customFormat="false" ht="37.3" hidden="false" customHeight="false" outlineLevel="0" collapsed="false">
      <c r="A150" s="46" t="s">
        <v>38</v>
      </c>
      <c r="B150" s="46" t="s">
        <v>245</v>
      </c>
      <c r="C150" s="47" t="s">
        <v>545</v>
      </c>
      <c r="D150" s="47" t="s">
        <v>923</v>
      </c>
      <c r="E150" s="48" t="s">
        <v>879</v>
      </c>
      <c r="F150" s="48" t="s">
        <v>879</v>
      </c>
      <c r="G150" s="46" t="s">
        <v>10</v>
      </c>
      <c r="H150" s="48" t="s">
        <v>856</v>
      </c>
    </row>
    <row r="151" customFormat="false" ht="37.3" hidden="false" customHeight="false" outlineLevel="0" collapsed="false">
      <c r="A151" s="46" t="s">
        <v>38</v>
      </c>
      <c r="B151" s="46" t="s">
        <v>246</v>
      </c>
      <c r="C151" s="47" t="s">
        <v>545</v>
      </c>
      <c r="D151" s="47" t="s">
        <v>924</v>
      </c>
      <c r="E151" s="48" t="s">
        <v>879</v>
      </c>
      <c r="F151" s="48" t="s">
        <v>879</v>
      </c>
      <c r="G151" s="46" t="s">
        <v>10</v>
      </c>
      <c r="H151" s="48" t="s">
        <v>856</v>
      </c>
    </row>
    <row r="152" customFormat="false" ht="37.3" hidden="false" customHeight="false" outlineLevel="0" collapsed="false">
      <c r="A152" s="46" t="s">
        <v>38</v>
      </c>
      <c r="B152" s="46" t="s">
        <v>247</v>
      </c>
      <c r="C152" s="47" t="s">
        <v>545</v>
      </c>
      <c r="D152" s="47" t="s">
        <v>925</v>
      </c>
      <c r="E152" s="48" t="s">
        <v>879</v>
      </c>
      <c r="F152" s="48" t="s">
        <v>879</v>
      </c>
      <c r="G152" s="46" t="s">
        <v>10</v>
      </c>
      <c r="H152" s="48" t="s">
        <v>856</v>
      </c>
    </row>
    <row r="153" customFormat="false" ht="37.3" hidden="false" customHeight="false" outlineLevel="0" collapsed="false">
      <c r="A153" s="46" t="s">
        <v>38</v>
      </c>
      <c r="B153" s="46" t="s">
        <v>248</v>
      </c>
      <c r="C153" s="47" t="s">
        <v>545</v>
      </c>
      <c r="D153" s="47" t="s">
        <v>926</v>
      </c>
      <c r="E153" s="48" t="s">
        <v>879</v>
      </c>
      <c r="F153" s="48" t="s">
        <v>879</v>
      </c>
      <c r="G153" s="46" t="s">
        <v>10</v>
      </c>
      <c r="H153" s="48" t="s">
        <v>856</v>
      </c>
    </row>
    <row r="154" customFormat="false" ht="55.2" hidden="false" customHeight="false" outlineLevel="0" collapsed="false">
      <c r="A154" s="46" t="s">
        <v>38</v>
      </c>
      <c r="B154" s="46" t="s">
        <v>249</v>
      </c>
      <c r="C154" s="47" t="s">
        <v>545</v>
      </c>
      <c r="D154" s="47" t="s">
        <v>927</v>
      </c>
      <c r="E154" s="48" t="s">
        <v>879</v>
      </c>
      <c r="F154" s="48" t="s">
        <v>879</v>
      </c>
      <c r="G154" s="46" t="s">
        <v>10</v>
      </c>
      <c r="H154" s="48" t="s">
        <v>856</v>
      </c>
    </row>
    <row r="155" customFormat="false" ht="55.2" hidden="false" customHeight="false" outlineLevel="0" collapsed="false">
      <c r="A155" s="46" t="s">
        <v>38</v>
      </c>
      <c r="B155" s="46" t="s">
        <v>250</v>
      </c>
      <c r="C155" s="47" t="s">
        <v>545</v>
      </c>
      <c r="D155" s="47" t="s">
        <v>928</v>
      </c>
      <c r="E155" s="48" t="s">
        <v>879</v>
      </c>
      <c r="F155" s="48" t="s">
        <v>879</v>
      </c>
      <c r="G155" s="46" t="s">
        <v>10</v>
      </c>
      <c r="H155" s="48" t="s">
        <v>856</v>
      </c>
    </row>
    <row r="156" customFormat="false" ht="37.3" hidden="false" customHeight="false" outlineLevel="0" collapsed="false">
      <c r="A156" s="46" t="s">
        <v>38</v>
      </c>
      <c r="B156" s="46" t="s">
        <v>251</v>
      </c>
      <c r="C156" s="47" t="s">
        <v>545</v>
      </c>
      <c r="D156" s="47" t="s">
        <v>929</v>
      </c>
      <c r="E156" s="48" t="s">
        <v>888</v>
      </c>
      <c r="F156" s="48" t="s">
        <v>888</v>
      </c>
      <c r="G156" s="46" t="s">
        <v>10</v>
      </c>
      <c r="H156" s="48" t="s">
        <v>856</v>
      </c>
    </row>
    <row r="157" customFormat="false" ht="37.3" hidden="false" customHeight="false" outlineLevel="0" collapsed="false">
      <c r="A157" s="46" t="s">
        <v>38</v>
      </c>
      <c r="B157" s="46" t="s">
        <v>252</v>
      </c>
      <c r="C157" s="47" t="s">
        <v>545</v>
      </c>
      <c r="D157" s="47" t="s">
        <v>930</v>
      </c>
      <c r="E157" s="48" t="s">
        <v>888</v>
      </c>
      <c r="F157" s="48" t="s">
        <v>888</v>
      </c>
      <c r="G157" s="46" t="s">
        <v>10</v>
      </c>
      <c r="H157" s="48" t="s">
        <v>856</v>
      </c>
    </row>
    <row r="158" customFormat="false" ht="37.3" hidden="false" customHeight="false" outlineLevel="0" collapsed="false">
      <c r="A158" s="46" t="s">
        <v>38</v>
      </c>
      <c r="B158" s="46" t="s">
        <v>253</v>
      </c>
      <c r="C158" s="47" t="s">
        <v>545</v>
      </c>
      <c r="D158" s="47" t="s">
        <v>931</v>
      </c>
      <c r="E158" s="48" t="s">
        <v>932</v>
      </c>
      <c r="F158" s="48" t="s">
        <v>932</v>
      </c>
      <c r="G158" s="46" t="s">
        <v>10</v>
      </c>
      <c r="H158" s="48" t="s">
        <v>856</v>
      </c>
    </row>
    <row r="159" customFormat="false" ht="37.3" hidden="false" customHeight="false" outlineLevel="0" collapsed="false">
      <c r="A159" s="46" t="s">
        <v>41</v>
      </c>
      <c r="B159" s="46" t="s">
        <v>291</v>
      </c>
      <c r="C159" s="47" t="s">
        <v>542</v>
      </c>
      <c r="D159" s="48" t="s">
        <v>933</v>
      </c>
      <c r="E159" s="48" t="s">
        <v>934</v>
      </c>
      <c r="F159" s="48" t="s">
        <v>934</v>
      </c>
      <c r="G159" s="46" t="s">
        <v>10</v>
      </c>
      <c r="H159" s="48" t="s">
        <v>856</v>
      </c>
    </row>
    <row r="160" customFormat="false" ht="37.3" hidden="false" customHeight="false" outlineLevel="0" collapsed="false">
      <c r="A160" s="46" t="s">
        <v>41</v>
      </c>
      <c r="B160" s="46" t="s">
        <v>297</v>
      </c>
      <c r="C160" s="47" t="s">
        <v>542</v>
      </c>
      <c r="D160" s="47" t="s">
        <v>935</v>
      </c>
      <c r="E160" s="48" t="s">
        <v>934</v>
      </c>
      <c r="F160" s="48" t="s">
        <v>934</v>
      </c>
      <c r="G160" s="46" t="s">
        <v>10</v>
      </c>
      <c r="H160" s="48" t="s">
        <v>856</v>
      </c>
    </row>
    <row r="161" customFormat="false" ht="37.3" hidden="false" customHeight="false" outlineLevel="0" collapsed="false">
      <c r="A161" s="46" t="s">
        <v>41</v>
      </c>
      <c r="B161" s="46" t="s">
        <v>299</v>
      </c>
      <c r="C161" s="47" t="s">
        <v>542</v>
      </c>
      <c r="D161" s="47" t="s">
        <v>936</v>
      </c>
      <c r="E161" s="48" t="s">
        <v>934</v>
      </c>
      <c r="F161" s="48" t="s">
        <v>934</v>
      </c>
      <c r="G161" s="46" t="s">
        <v>10</v>
      </c>
      <c r="H161" s="48" t="s">
        <v>856</v>
      </c>
    </row>
    <row r="162" customFormat="false" ht="37.3" hidden="false" customHeight="false" outlineLevel="0" collapsed="false">
      <c r="A162" s="46" t="s">
        <v>41</v>
      </c>
      <c r="B162" s="46" t="s">
        <v>301</v>
      </c>
      <c r="C162" s="47" t="s">
        <v>542</v>
      </c>
      <c r="D162" s="47" t="s">
        <v>937</v>
      </c>
      <c r="E162" s="48" t="s">
        <v>934</v>
      </c>
      <c r="F162" s="48" t="s">
        <v>934</v>
      </c>
      <c r="G162" s="46" t="s">
        <v>10</v>
      </c>
      <c r="H162" s="48" t="s">
        <v>856</v>
      </c>
    </row>
    <row r="163" customFormat="false" ht="37.3" hidden="false" customHeight="false" outlineLevel="0" collapsed="false">
      <c r="A163" s="46" t="s">
        <v>41</v>
      </c>
      <c r="B163" s="46" t="s">
        <v>303</v>
      </c>
      <c r="C163" s="47" t="s">
        <v>542</v>
      </c>
      <c r="D163" s="47" t="s">
        <v>938</v>
      </c>
      <c r="E163" s="48" t="s">
        <v>934</v>
      </c>
      <c r="F163" s="48" t="s">
        <v>934</v>
      </c>
      <c r="G163" s="46" t="s">
        <v>10</v>
      </c>
      <c r="H163" s="48" t="s">
        <v>856</v>
      </c>
    </row>
    <row r="164" customFormat="false" ht="37.3" hidden="false" customHeight="false" outlineLevel="0" collapsed="false">
      <c r="A164" s="46" t="s">
        <v>41</v>
      </c>
      <c r="B164" s="46" t="s">
        <v>305</v>
      </c>
      <c r="C164" s="47" t="s">
        <v>542</v>
      </c>
      <c r="D164" s="47" t="s">
        <v>939</v>
      </c>
      <c r="E164" s="47" t="s">
        <v>940</v>
      </c>
      <c r="F164" s="47" t="s">
        <v>940</v>
      </c>
      <c r="G164" s="46" t="s">
        <v>10</v>
      </c>
      <c r="H164" s="48" t="s">
        <v>856</v>
      </c>
    </row>
    <row r="165" customFormat="false" ht="37.3" hidden="false" customHeight="false" outlineLevel="0" collapsed="false">
      <c r="A165" s="46" t="s">
        <v>41</v>
      </c>
      <c r="B165" s="46" t="s">
        <v>308</v>
      </c>
      <c r="C165" s="47" t="s">
        <v>542</v>
      </c>
      <c r="D165" s="47" t="s">
        <v>941</v>
      </c>
      <c r="E165" s="47" t="s">
        <v>940</v>
      </c>
      <c r="F165" s="47" t="s">
        <v>940</v>
      </c>
      <c r="G165" s="46" t="s">
        <v>10</v>
      </c>
      <c r="H165" s="48" t="s">
        <v>856</v>
      </c>
    </row>
    <row r="166" customFormat="false" ht="37.3" hidden="false" customHeight="false" outlineLevel="0" collapsed="false">
      <c r="A166" s="46" t="s">
        <v>41</v>
      </c>
      <c r="B166" s="46" t="s">
        <v>310</v>
      </c>
      <c r="C166" s="47" t="s">
        <v>542</v>
      </c>
      <c r="D166" s="47" t="s">
        <v>942</v>
      </c>
      <c r="E166" s="47" t="s">
        <v>940</v>
      </c>
      <c r="F166" s="47" t="s">
        <v>940</v>
      </c>
      <c r="G166" s="46" t="s">
        <v>10</v>
      </c>
      <c r="H166" s="48" t="s">
        <v>856</v>
      </c>
    </row>
    <row r="167" customFormat="false" ht="37.3" hidden="false" customHeight="false" outlineLevel="0" collapsed="false">
      <c r="A167" s="46" t="s">
        <v>41</v>
      </c>
      <c r="B167" s="46" t="s">
        <v>311</v>
      </c>
      <c r="C167" s="47" t="s">
        <v>542</v>
      </c>
      <c r="D167" s="47" t="s">
        <v>943</v>
      </c>
      <c r="E167" s="47" t="s">
        <v>940</v>
      </c>
      <c r="F167" s="47" t="s">
        <v>940</v>
      </c>
      <c r="G167" s="46" t="s">
        <v>10</v>
      </c>
      <c r="H167" s="48" t="s">
        <v>856</v>
      </c>
    </row>
    <row r="168" customFormat="false" ht="37.3" hidden="false" customHeight="false" outlineLevel="0" collapsed="false">
      <c r="A168" s="46" t="s">
        <v>41</v>
      </c>
      <c r="B168" s="46" t="s">
        <v>313</v>
      </c>
      <c r="C168" s="47" t="s">
        <v>542</v>
      </c>
      <c r="D168" s="47" t="s">
        <v>944</v>
      </c>
      <c r="E168" s="47" t="s">
        <v>945</v>
      </c>
      <c r="F168" s="47" t="s">
        <v>945</v>
      </c>
      <c r="G168" s="46" t="s">
        <v>10</v>
      </c>
      <c r="H168" s="48" t="s">
        <v>856</v>
      </c>
    </row>
    <row r="169" customFormat="false" ht="37.3" hidden="false" customHeight="false" outlineLevel="0" collapsed="false">
      <c r="A169" s="46" t="s">
        <v>41</v>
      </c>
      <c r="B169" s="46" t="s">
        <v>315</v>
      </c>
      <c r="C169" s="47" t="s">
        <v>542</v>
      </c>
      <c r="D169" s="47" t="s">
        <v>946</v>
      </c>
      <c r="E169" s="47" t="s">
        <v>945</v>
      </c>
      <c r="F169" s="47" t="s">
        <v>945</v>
      </c>
      <c r="G169" s="46" t="s">
        <v>10</v>
      </c>
      <c r="H169" s="48" t="s">
        <v>856</v>
      </c>
    </row>
    <row r="170" customFormat="false" ht="37.3" hidden="false" customHeight="false" outlineLevel="0" collapsed="false">
      <c r="A170" s="46" t="s">
        <v>41</v>
      </c>
      <c r="B170" s="46" t="s">
        <v>316</v>
      </c>
      <c r="C170" s="47" t="s">
        <v>542</v>
      </c>
      <c r="D170" s="47" t="s">
        <v>947</v>
      </c>
      <c r="E170" s="47" t="s">
        <v>945</v>
      </c>
      <c r="F170" s="47" t="s">
        <v>945</v>
      </c>
      <c r="G170" s="46" t="s">
        <v>10</v>
      </c>
      <c r="H170" s="48" t="s">
        <v>856</v>
      </c>
    </row>
    <row r="171" customFormat="false" ht="37.3" hidden="false" customHeight="false" outlineLevel="0" collapsed="false">
      <c r="A171" s="46" t="s">
        <v>41</v>
      </c>
      <c r="B171" s="46" t="s">
        <v>317</v>
      </c>
      <c r="C171" s="47" t="s">
        <v>542</v>
      </c>
      <c r="D171" s="47" t="s">
        <v>948</v>
      </c>
      <c r="E171" s="47" t="s">
        <v>949</v>
      </c>
      <c r="F171" s="47" t="s">
        <v>949</v>
      </c>
      <c r="G171" s="46" t="s">
        <v>10</v>
      </c>
      <c r="H171" s="48" t="s">
        <v>856</v>
      </c>
    </row>
    <row r="172" customFormat="false" ht="37.3" hidden="false" customHeight="false" outlineLevel="0" collapsed="false">
      <c r="A172" s="46" t="s">
        <v>41</v>
      </c>
      <c r="B172" s="46" t="s">
        <v>320</v>
      </c>
      <c r="C172" s="47" t="s">
        <v>542</v>
      </c>
      <c r="D172" s="47" t="s">
        <v>950</v>
      </c>
      <c r="E172" s="47" t="s">
        <v>951</v>
      </c>
      <c r="F172" s="47" t="s">
        <v>951</v>
      </c>
      <c r="G172" s="46" t="s">
        <v>10</v>
      </c>
      <c r="H172" s="48" t="s">
        <v>856</v>
      </c>
    </row>
    <row r="173" customFormat="false" ht="37.3" hidden="false" customHeight="false" outlineLevel="0" collapsed="false">
      <c r="A173" s="46" t="s">
        <v>41</v>
      </c>
      <c r="B173" s="46" t="s">
        <v>322</v>
      </c>
      <c r="C173" s="47" t="s">
        <v>542</v>
      </c>
      <c r="D173" s="47" t="s">
        <v>952</v>
      </c>
      <c r="E173" s="47" t="s">
        <v>953</v>
      </c>
      <c r="F173" s="47" t="s">
        <v>953</v>
      </c>
      <c r="G173" s="46" t="s">
        <v>10</v>
      </c>
      <c r="H173" s="48" t="s">
        <v>856</v>
      </c>
    </row>
    <row r="174" customFormat="false" ht="37.3" hidden="false" customHeight="false" outlineLevel="0" collapsed="false">
      <c r="A174" s="46" t="s">
        <v>41</v>
      </c>
      <c r="B174" s="46" t="s">
        <v>339</v>
      </c>
      <c r="C174" s="47" t="s">
        <v>954</v>
      </c>
      <c r="D174" s="48" t="s">
        <v>933</v>
      </c>
      <c r="E174" s="48" t="s">
        <v>934</v>
      </c>
      <c r="F174" s="48" t="s">
        <v>934</v>
      </c>
      <c r="G174" s="46" t="s">
        <v>10</v>
      </c>
      <c r="H174" s="48" t="s">
        <v>856</v>
      </c>
    </row>
    <row r="175" customFormat="false" ht="37.3" hidden="false" customHeight="false" outlineLevel="0" collapsed="false">
      <c r="A175" s="46" t="s">
        <v>41</v>
      </c>
      <c r="B175" s="46" t="s">
        <v>342</v>
      </c>
      <c r="C175" s="47" t="s">
        <v>954</v>
      </c>
      <c r="D175" s="47" t="s">
        <v>955</v>
      </c>
      <c r="E175" s="48" t="s">
        <v>934</v>
      </c>
      <c r="F175" s="48" t="s">
        <v>934</v>
      </c>
      <c r="G175" s="46" t="s">
        <v>10</v>
      </c>
      <c r="H175" s="48" t="s">
        <v>856</v>
      </c>
    </row>
    <row r="176" customFormat="false" ht="37.3" hidden="false" customHeight="false" outlineLevel="0" collapsed="false">
      <c r="A176" s="46" t="s">
        <v>41</v>
      </c>
      <c r="B176" s="46" t="s">
        <v>343</v>
      </c>
      <c r="C176" s="47" t="s">
        <v>954</v>
      </c>
      <c r="D176" s="47" t="s">
        <v>956</v>
      </c>
      <c r="E176" s="48" t="s">
        <v>934</v>
      </c>
      <c r="F176" s="48" t="s">
        <v>934</v>
      </c>
      <c r="G176" s="46" t="s">
        <v>10</v>
      </c>
      <c r="H176" s="48" t="s">
        <v>856</v>
      </c>
    </row>
    <row r="177" customFormat="false" ht="37.3" hidden="false" customHeight="false" outlineLevel="0" collapsed="false">
      <c r="A177" s="46" t="s">
        <v>41</v>
      </c>
      <c r="B177" s="46" t="s">
        <v>344</v>
      </c>
      <c r="C177" s="47" t="s">
        <v>954</v>
      </c>
      <c r="D177" s="47" t="s">
        <v>957</v>
      </c>
      <c r="E177" s="48" t="s">
        <v>934</v>
      </c>
      <c r="F177" s="48" t="s">
        <v>934</v>
      </c>
      <c r="G177" s="46" t="s">
        <v>10</v>
      </c>
      <c r="H177" s="48" t="s">
        <v>856</v>
      </c>
    </row>
    <row r="178" customFormat="false" ht="37.3" hidden="false" customHeight="false" outlineLevel="0" collapsed="false">
      <c r="A178" s="46" t="s">
        <v>41</v>
      </c>
      <c r="B178" s="46" t="s">
        <v>346</v>
      </c>
      <c r="C178" s="47" t="s">
        <v>954</v>
      </c>
      <c r="D178" s="47" t="s">
        <v>939</v>
      </c>
      <c r="E178" s="47" t="s">
        <v>940</v>
      </c>
      <c r="F178" s="47" t="s">
        <v>940</v>
      </c>
      <c r="G178" s="46" t="s">
        <v>10</v>
      </c>
      <c r="H178" s="48" t="s">
        <v>856</v>
      </c>
    </row>
    <row r="179" customFormat="false" ht="37.3" hidden="false" customHeight="false" outlineLevel="0" collapsed="false">
      <c r="A179" s="46" t="s">
        <v>41</v>
      </c>
      <c r="B179" s="46" t="s">
        <v>347</v>
      </c>
      <c r="C179" s="47" t="s">
        <v>954</v>
      </c>
      <c r="D179" s="47" t="s">
        <v>941</v>
      </c>
      <c r="E179" s="47" t="s">
        <v>940</v>
      </c>
      <c r="F179" s="47" t="s">
        <v>940</v>
      </c>
      <c r="G179" s="46" t="s">
        <v>10</v>
      </c>
      <c r="H179" s="48" t="s">
        <v>856</v>
      </c>
    </row>
    <row r="180" customFormat="false" ht="37.3" hidden="false" customHeight="false" outlineLevel="0" collapsed="false">
      <c r="A180" s="46" t="s">
        <v>41</v>
      </c>
      <c r="B180" s="46" t="s">
        <v>348</v>
      </c>
      <c r="C180" s="47" t="s">
        <v>954</v>
      </c>
      <c r="D180" s="47" t="s">
        <v>943</v>
      </c>
      <c r="E180" s="47" t="s">
        <v>940</v>
      </c>
      <c r="F180" s="47" t="s">
        <v>940</v>
      </c>
      <c r="G180" s="46" t="s">
        <v>10</v>
      </c>
      <c r="H180" s="48" t="s">
        <v>856</v>
      </c>
    </row>
    <row r="181" customFormat="false" ht="37.3" hidden="false" customHeight="false" outlineLevel="0" collapsed="false">
      <c r="A181" s="46" t="s">
        <v>41</v>
      </c>
      <c r="B181" s="46" t="s">
        <v>350</v>
      </c>
      <c r="C181" s="47" t="s">
        <v>954</v>
      </c>
      <c r="D181" s="47" t="s">
        <v>958</v>
      </c>
      <c r="E181" s="47" t="s">
        <v>959</v>
      </c>
      <c r="F181" s="47" t="s">
        <v>959</v>
      </c>
      <c r="G181" s="46" t="s">
        <v>10</v>
      </c>
      <c r="H181" s="48" t="s">
        <v>856</v>
      </c>
    </row>
    <row r="182" customFormat="false" ht="37.3" hidden="false" customHeight="false" outlineLevel="0" collapsed="false">
      <c r="A182" s="46" t="s">
        <v>41</v>
      </c>
      <c r="B182" s="46" t="s">
        <v>352</v>
      </c>
      <c r="C182" s="47" t="s">
        <v>954</v>
      </c>
      <c r="D182" s="47" t="s">
        <v>960</v>
      </c>
      <c r="E182" s="47" t="s">
        <v>959</v>
      </c>
      <c r="F182" s="47" t="s">
        <v>959</v>
      </c>
      <c r="G182" s="46" t="s">
        <v>10</v>
      </c>
      <c r="H182" s="48" t="s">
        <v>856</v>
      </c>
    </row>
    <row r="183" customFormat="false" ht="37.3" hidden="false" customHeight="false" outlineLevel="0" collapsed="false">
      <c r="A183" s="46" t="s">
        <v>41</v>
      </c>
      <c r="B183" s="46" t="s">
        <v>353</v>
      </c>
      <c r="C183" s="47" t="s">
        <v>954</v>
      </c>
      <c r="D183" s="47" t="s">
        <v>961</v>
      </c>
      <c r="E183" s="47" t="s">
        <v>962</v>
      </c>
      <c r="F183" s="47" t="s">
        <v>962</v>
      </c>
      <c r="G183" s="46" t="s">
        <v>10</v>
      </c>
      <c r="H183" s="48" t="s">
        <v>856</v>
      </c>
    </row>
    <row r="184" customFormat="false" ht="37.3" hidden="false" customHeight="false" outlineLevel="0" collapsed="false">
      <c r="A184" s="46" t="s">
        <v>45</v>
      </c>
      <c r="B184" s="46" t="s">
        <v>425</v>
      </c>
      <c r="C184" s="47" t="s">
        <v>426</v>
      </c>
      <c r="D184" s="48" t="s">
        <v>963</v>
      </c>
      <c r="E184" s="47" t="s">
        <v>964</v>
      </c>
      <c r="F184" s="47" t="s">
        <v>964</v>
      </c>
      <c r="G184" s="46" t="s">
        <v>10</v>
      </c>
      <c r="H184" s="47" t="s">
        <v>965</v>
      </c>
    </row>
    <row r="185" customFormat="false" ht="37.3" hidden="false" customHeight="false" outlineLevel="0" collapsed="false">
      <c r="A185" s="46" t="s">
        <v>45</v>
      </c>
      <c r="B185" s="46" t="s">
        <v>448</v>
      </c>
      <c r="C185" s="47" t="s">
        <v>426</v>
      </c>
      <c r="D185" s="48" t="s">
        <v>966</v>
      </c>
      <c r="E185" s="47" t="s">
        <v>967</v>
      </c>
      <c r="F185" s="47" t="s">
        <v>967</v>
      </c>
      <c r="G185" s="46" t="s">
        <v>10</v>
      </c>
      <c r="H185" s="47" t="s">
        <v>965</v>
      </c>
    </row>
    <row r="186" customFormat="false" ht="55.2" hidden="false" customHeight="false" outlineLevel="0" collapsed="false">
      <c r="A186" s="46" t="s">
        <v>45</v>
      </c>
      <c r="B186" s="46" t="s">
        <v>429</v>
      </c>
      <c r="C186" s="47" t="s">
        <v>430</v>
      </c>
      <c r="D186" s="48" t="s">
        <v>968</v>
      </c>
      <c r="E186" s="47" t="s">
        <v>969</v>
      </c>
      <c r="F186" s="47" t="s">
        <v>969</v>
      </c>
      <c r="G186" s="46" t="s">
        <v>10</v>
      </c>
      <c r="H186" s="47" t="s">
        <v>965</v>
      </c>
    </row>
    <row r="187" customFormat="false" ht="55.2" hidden="false" customHeight="false" outlineLevel="0" collapsed="false">
      <c r="A187" s="46" t="s">
        <v>45</v>
      </c>
      <c r="B187" s="46" t="s">
        <v>452</v>
      </c>
      <c r="C187" s="47" t="s">
        <v>430</v>
      </c>
      <c r="D187" s="48" t="s">
        <v>453</v>
      </c>
      <c r="E187" s="47" t="s">
        <v>970</v>
      </c>
      <c r="F187" s="47" t="s">
        <v>970</v>
      </c>
      <c r="G187" s="46" t="s">
        <v>10</v>
      </c>
      <c r="H187" s="47" t="s">
        <v>965</v>
      </c>
    </row>
    <row r="188" customFormat="false" ht="37.3" hidden="false" customHeight="false" outlineLevel="0" collapsed="false">
      <c r="A188" s="46" t="s">
        <v>45</v>
      </c>
      <c r="B188" s="46" t="s">
        <v>805</v>
      </c>
      <c r="C188" s="47" t="s">
        <v>971</v>
      </c>
      <c r="D188" s="47" t="s">
        <v>972</v>
      </c>
      <c r="E188" s="47" t="s">
        <v>693</v>
      </c>
      <c r="F188" s="47" t="s">
        <v>693</v>
      </c>
      <c r="G188" s="46" t="s">
        <v>10</v>
      </c>
      <c r="H188" s="47" t="s">
        <v>965</v>
      </c>
    </row>
    <row r="189" customFormat="false" ht="37.3" hidden="false" customHeight="false" outlineLevel="0" collapsed="false">
      <c r="A189" s="46" t="s">
        <v>45</v>
      </c>
      <c r="B189" s="46" t="s">
        <v>519</v>
      </c>
      <c r="C189" s="47" t="s">
        <v>512</v>
      </c>
      <c r="D189" s="47" t="s">
        <v>520</v>
      </c>
      <c r="E189" s="47" t="s">
        <v>973</v>
      </c>
      <c r="F189" s="47" t="s">
        <v>973</v>
      </c>
      <c r="G189" s="46" t="s">
        <v>10</v>
      </c>
      <c r="H189" s="47" t="s">
        <v>965</v>
      </c>
    </row>
    <row r="191" customFormat="false" ht="18.65" hidden="false" customHeight="false" outlineLevel="0" collapsed="false">
      <c r="A191" s="49" t="s">
        <v>974</v>
      </c>
    </row>
  </sheetData>
  <mergeCells count="13">
    <mergeCell ref="A2:G2"/>
    <mergeCell ref="B4:D4"/>
    <mergeCell ref="F4:G4"/>
    <mergeCell ref="B5:D5"/>
    <mergeCell ref="F5:G5"/>
    <mergeCell ref="B6:G6"/>
    <mergeCell ref="A8:A9"/>
    <mergeCell ref="B8:B9"/>
    <mergeCell ref="C8:D8"/>
    <mergeCell ref="E8:E9"/>
    <mergeCell ref="F8:F9"/>
    <mergeCell ref="G8:G9"/>
    <mergeCell ref="H8:H9"/>
  </mergeCells>
  <dataValidations count="1">
    <dataValidation allowBlank="false" errorStyle="stop" operator="between" showDropDown="false" showErrorMessage="false" showInputMessage="false" sqref="G10:G189" type="list">
      <formula1>"Pass,Fail,No run,Block"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2026-10-10T15:22:37Z</dcterms:created>
  <dc:creator>openpyxl</dc:creator>
  <dc:description/>
  <dc:language>en-US</dc:language>
  <cp:lastModifiedBy/>
  <dcterms:modified xsi:type="dcterms:W3CDTF">2026-10-10T15:22:37Z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